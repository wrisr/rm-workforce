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2BFA2D2E-6DA8-8247-8F8F-9B1782DFC9BE}" xr6:coauthVersionLast="47" xr6:coauthVersionMax="47" xr10:uidLastSave="{00000000-0000-0000-0000-000000000000}"/>
  <bookViews>
    <workbookView xWindow="8000" yWindow="3500" windowWidth="28800" windowHeight="16120" activeTab="1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3" i="3" l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B136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B54" i="4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1" i="14"/>
  <c r="F22" i="14"/>
  <c r="F23" i="14"/>
  <c r="F24" i="14"/>
  <c r="F25" i="14"/>
  <c r="F26" i="14"/>
  <c r="A27" i="14"/>
  <c r="B27" i="14"/>
  <c r="B28" i="14"/>
  <c r="C27" i="14"/>
  <c r="C28" i="14"/>
  <c r="D27" i="14"/>
  <c r="D28" i="14"/>
  <c r="E27" i="14"/>
  <c r="E28" i="14"/>
  <c r="F27" i="14"/>
  <c r="F28" i="14"/>
  <c r="F86" i="12"/>
  <c r="E86" i="12"/>
  <c r="D86" i="12"/>
  <c r="C86" i="12"/>
  <c r="B86" i="12"/>
  <c r="A86" i="12"/>
  <c r="F85" i="12"/>
  <c r="E85" i="12"/>
  <c r="D85" i="12"/>
  <c r="C85" i="12"/>
  <c r="B85" i="12"/>
  <c r="F76" i="12"/>
  <c r="E76" i="12"/>
  <c r="D76" i="12"/>
  <c r="C76" i="12"/>
  <c r="B76" i="12"/>
  <c r="A76" i="12"/>
  <c r="F75" i="12"/>
  <c r="E75" i="12"/>
  <c r="D75" i="12"/>
  <c r="C75" i="12"/>
  <c r="B75" i="12"/>
  <c r="F66" i="12"/>
  <c r="E66" i="12"/>
  <c r="D66" i="12"/>
  <c r="C66" i="12"/>
  <c r="B66" i="12"/>
  <c r="A66" i="12"/>
  <c r="F65" i="12"/>
  <c r="E65" i="12"/>
  <c r="D65" i="12"/>
  <c r="C65" i="12"/>
  <c r="B65" i="12"/>
  <c r="F56" i="12"/>
  <c r="E56" i="12"/>
  <c r="D56" i="12"/>
  <c r="C56" i="12"/>
  <c r="B56" i="12"/>
  <c r="A56" i="12"/>
  <c r="F55" i="12"/>
  <c r="E55" i="12"/>
  <c r="D55" i="12"/>
  <c r="C55" i="12"/>
  <c r="B55" i="12"/>
  <c r="B96" i="10"/>
  <c r="A96" i="10"/>
  <c r="F95" i="10"/>
  <c r="E95" i="10"/>
  <c r="D95" i="10"/>
  <c r="C95" i="10"/>
  <c r="B95" i="10"/>
  <c r="F86" i="10"/>
  <c r="E86" i="10"/>
  <c r="D86" i="10"/>
  <c r="C86" i="10"/>
  <c r="B86" i="10"/>
  <c r="A86" i="10"/>
  <c r="F85" i="10"/>
  <c r="E85" i="10"/>
  <c r="D85" i="10"/>
  <c r="C85" i="10"/>
  <c r="B85" i="10"/>
  <c r="F76" i="10"/>
  <c r="E76" i="10"/>
  <c r="D76" i="10"/>
  <c r="C76" i="10"/>
  <c r="B76" i="10"/>
  <c r="A76" i="10"/>
  <c r="F75" i="10"/>
  <c r="E75" i="10"/>
  <c r="D75" i="10"/>
  <c r="C75" i="10"/>
  <c r="B75" i="10"/>
  <c r="F66" i="10"/>
  <c r="E66" i="10"/>
  <c r="D66" i="10"/>
  <c r="C66" i="10"/>
  <c r="B66" i="10"/>
  <c r="A66" i="10"/>
  <c r="F65" i="10"/>
  <c r="E65" i="10"/>
  <c r="D65" i="10"/>
  <c r="C65" i="10"/>
  <c r="B65" i="10"/>
  <c r="F56" i="10"/>
  <c r="E56" i="10"/>
  <c r="D56" i="10"/>
  <c r="C56" i="10"/>
  <c r="B56" i="10"/>
  <c r="A56" i="10"/>
  <c r="F55" i="10"/>
  <c r="E55" i="10"/>
  <c r="D55" i="10"/>
  <c r="C55" i="10"/>
  <c r="B55" i="10"/>
  <c r="F136" i="8"/>
  <c r="E136" i="8"/>
  <c r="D136" i="8"/>
  <c r="C136" i="8"/>
  <c r="A136" i="8"/>
  <c r="F135" i="8"/>
  <c r="E135" i="8"/>
  <c r="D135" i="8"/>
  <c r="C135" i="8"/>
  <c r="B135" i="8"/>
  <c r="F126" i="8"/>
  <c r="E126" i="8"/>
  <c r="D126" i="8"/>
  <c r="C126" i="8"/>
  <c r="B126" i="8"/>
  <c r="A126" i="8"/>
  <c r="F125" i="8"/>
  <c r="E125" i="8"/>
  <c r="D125" i="8"/>
  <c r="C125" i="8"/>
  <c r="B125" i="8"/>
  <c r="F116" i="8"/>
  <c r="E116" i="8"/>
  <c r="D116" i="8"/>
  <c r="C116" i="8"/>
  <c r="B116" i="8"/>
  <c r="A116" i="8"/>
  <c r="F115" i="8"/>
  <c r="E115" i="8"/>
  <c r="D115" i="8"/>
  <c r="C115" i="8"/>
  <c r="B115" i="8"/>
  <c r="F106" i="8"/>
  <c r="E106" i="8"/>
  <c r="D106" i="8"/>
  <c r="C106" i="8"/>
  <c r="B106" i="8"/>
  <c r="A106" i="8"/>
  <c r="F105" i="8"/>
  <c r="E105" i="8"/>
  <c r="D105" i="8"/>
  <c r="C105" i="8"/>
  <c r="B105" i="8"/>
  <c r="F96" i="8"/>
  <c r="E96" i="8"/>
  <c r="D96" i="8"/>
  <c r="C96" i="8"/>
  <c r="B96" i="8"/>
  <c r="A96" i="8"/>
  <c r="F95" i="8"/>
  <c r="E95" i="8"/>
  <c r="D95" i="8"/>
  <c r="C95" i="8"/>
  <c r="B95" i="8"/>
  <c r="F86" i="8"/>
  <c r="E86" i="8"/>
  <c r="D86" i="8"/>
  <c r="C86" i="8"/>
  <c r="B86" i="8"/>
  <c r="A86" i="8"/>
  <c r="F85" i="8"/>
  <c r="E85" i="8"/>
  <c r="D85" i="8"/>
  <c r="C85" i="8"/>
  <c r="B85" i="8"/>
  <c r="F76" i="8"/>
  <c r="E76" i="8"/>
  <c r="D76" i="8"/>
  <c r="C76" i="8"/>
  <c r="B76" i="8"/>
  <c r="A76" i="8"/>
  <c r="F75" i="8"/>
  <c r="E75" i="8"/>
  <c r="D75" i="8"/>
  <c r="C75" i="8"/>
  <c r="B75" i="8"/>
  <c r="F66" i="8"/>
  <c r="E66" i="8"/>
  <c r="D66" i="8"/>
  <c r="C66" i="8"/>
  <c r="B66" i="8"/>
  <c r="A66" i="8"/>
  <c r="F65" i="8"/>
  <c r="E65" i="8"/>
  <c r="D65" i="8"/>
  <c r="C65" i="8"/>
  <c r="B65" i="8"/>
  <c r="F56" i="8"/>
  <c r="E56" i="8"/>
  <c r="D56" i="8"/>
  <c r="C56" i="8"/>
  <c r="B56" i="8"/>
  <c r="A56" i="8"/>
  <c r="F55" i="8"/>
  <c r="E55" i="8"/>
  <c r="D55" i="8"/>
  <c r="C55" i="8"/>
  <c r="B55" i="8"/>
  <c r="F66" i="6"/>
  <c r="E66" i="6"/>
  <c r="D66" i="6"/>
  <c r="C66" i="6"/>
  <c r="B66" i="6"/>
  <c r="A66" i="6"/>
  <c r="F65" i="6"/>
  <c r="E65" i="6"/>
  <c r="D65" i="6"/>
  <c r="C65" i="6"/>
  <c r="B65" i="6"/>
  <c r="F56" i="6"/>
  <c r="E56" i="6"/>
  <c r="D56" i="6"/>
  <c r="C56" i="6"/>
  <c r="B56" i="6"/>
  <c r="A56" i="6"/>
  <c r="F55" i="6"/>
  <c r="E55" i="6"/>
  <c r="D55" i="6"/>
  <c r="C55" i="6"/>
  <c r="B55" i="6"/>
  <c r="F66" i="4"/>
  <c r="E66" i="4"/>
  <c r="D66" i="4"/>
  <c r="C66" i="4"/>
  <c r="B66" i="4"/>
  <c r="A66" i="4"/>
  <c r="F65" i="4"/>
  <c r="E65" i="4"/>
  <c r="D65" i="4"/>
  <c r="C65" i="4"/>
  <c r="B65" i="4"/>
  <c r="C55" i="4"/>
  <c r="D55" i="4"/>
  <c r="E55" i="4"/>
  <c r="F55" i="4"/>
  <c r="A56" i="4"/>
  <c r="F56" i="4"/>
  <c r="E56" i="4"/>
  <c r="D56" i="4"/>
  <c r="C56" i="4"/>
  <c r="B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<sst xmlns="http://schemas.openxmlformats.org/spreadsheetml/2006/main" count="774" uniqueCount="134">
  <si>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</si>
  <si>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</si>
  <si>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</si>
  <si>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</si>
  <si>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</si>
  <si>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</si>
  <si>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</si>
  <si>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</si>
  <si>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</si>
  <si>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</si>
  <si>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</si>
  <si>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</si>
  <si>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</si>
  <si>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</si>
  <si>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</si>
  <si>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</si>
  <si>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</si>
  <si>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</si>
  <si>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</si>
  <si>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</si>
  <si>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</si>
  <si>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</si>
  <si>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</si>
  <si>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</si>
  <si>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</si>
  <si>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</si>
  <si>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</si>
  <si>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</si>
  <si>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</si>
  <si>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</si>
  <si>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</si>
  <si>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</si>
  <si>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</si>
  <si>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</si>
  <si>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</si>
  <si>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</si>
  <si>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</si>
  <si>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</si>
  <si>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</si>
  <si>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</si>
  <si>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</si>
  <si>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</si>
  <si>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</si>
  <si>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</si>
  <si>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</si>
  <si>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</si>
  <si>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</si>
  <si>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</si>
  <si>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</si>
  <si>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</si>
  <si>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</si>
  <si>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</si>
  <si>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</si>
  <si>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</si>
  <si>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</si>
  <si>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</si>
  <si>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</si>
  <si>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</si>
  <si>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</si>
  <si>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</si>
  <si>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</si>
  <si>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</si>
  <si>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</si>
  <si>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</si>
  <si>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</si>
  <si>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</si>
  <si>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</si>
  <si>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</si>
  <si>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</si>
  <si>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</si>
  <si>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</si>
  <si>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</si>
  <si>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</si>
  <si>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</si>
  <si>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</si>
  <si>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</si>
  <si>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</si>
  <si>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</si>
  <si>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</si>
  <si>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</si>
  <si>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</si>
  <si>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</si>
  <si>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</si>
  <si>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</si>
  <si>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</si>
  <si>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</si>
  <si>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</si>
  <si>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</si>
  <si>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</si>
  <si>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</si>
  <si>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</si>
  <si>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</si>
  <si>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</si>
  <si>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</si>
  <si>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</si>
  <si>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</si>
  <si>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</si>
  <si>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</si>
  <si>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</si>
  <si>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</si>
  <si>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</si>
  <si>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</si>
  <si>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</si>
  <si>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</si>
  <si>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</si>
  <si>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</si>
  <si>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</si>
  <si>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</si>
  <si>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</si>
  <si>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</si>
  <si>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</si>
  <si>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</si>
  <si>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</si>
  <si>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</si>
  <si>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</si>
  <si>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</si>
  <si>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</si>
  <si>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</si>
  <si>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</si>
  <si>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</si>
  <si>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</si>
  <si>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</si>
  <si>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</si>
  <si>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</si>
  <si>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</si>
  <si>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</si>
  <si>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</si>
  <si>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</si>
  <si>
    <t>FTE</t>
  </si>
  <si>
    <t>Total FTE</t>
  </si>
  <si>
    <t>Actual</t>
  </si>
  <si>
    <t>Mgmt</t>
  </si>
  <si>
    <t>Logged</t>
  </si>
  <si>
    <t>Q1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</si>
</sst>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0"/>
      <color rgb="FF548235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selection activeCell="B24" sqref="B24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131</v>
      </c>
      <c r="C22" s="70">
        <v>11</v>
      </c>
      <c r="D22" s="70">
        <v>11</v>
      </c>
      <c r="E22" s="70">
        <v>11</v>
      </c>
      <c r="F22" s="70">
        <v>11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132</v>
      </c>
      <c r="C23" s="71">
        <v>117.04</v>
      </c>
      <c r="D23" s="71">
        <v>125.05</v>
      </c>
      <c r="E23" s="70">
        <v>126.04</v>
      </c>
      <c r="F23" s="70">
        <v>126.8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104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0.29909999999999998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0.70089999999999997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tabSelected="1" topLeftCell="A140" workbookViewId="0">
      <selection activeCell="F166" sqref="F16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96.179999999999993</v>
      </c>
      <c r="D156">
        <f>ALL!E36*100</f>
        <v>94.28</v>
      </c>
      <c r="E156">
        <f>ALL!F36*100</f>
        <v>87.570000000000007</v>
      </c>
      <c r="F156">
        <f>ALL!G36*100</f>
        <v>70.09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6</v>
      </c>
      <c r="D157">
        <f>ALL!E37</f>
        <v>9</v>
      </c>
      <c r="E157">
        <f>ALL!F37</f>
        <v>19</v>
      </c>
      <c r="F157">
        <f>ALL!G37</f>
        <v>28</v>
      </c>
    </row>
    <row r="161" spans="1:16" x14ac:dyDescent="0.2">
      <c r="B161" t="str">
        <f>ALL!C1</f>
        <v>JAN</v>
      </c>
      <c r="C161" t="str">
        <f>ALL!D1</f>
        <v>FEB</v>
      </c>
      <c r="D161" t="str">
        <f>ALL!E1</f>
        <v>MAR</v>
      </c>
      <c r="E161" t="str">
        <f>ALL!F1</f>
        <v>APR</v>
      </c>
      <c r="F161" t="str">
        <f>ALL!G1</f>
        <v>MAY</v>
      </c>
      <c r="G161" t="str">
        <f>ALL!H1</f>
        <v>JUN</v>
      </c>
      <c r="H161" t="str">
        <f>ALL!I1</f>
        <v>JUL</v>
      </c>
      <c r="I161" t="str">
        <f>ALL!J1</f>
        <v>AUG</v>
      </c>
      <c r="J161" t="str">
        <f>ALL!K1</f>
        <v>SEP</v>
      </c>
      <c r="K161" t="str">
        <f>ALL!L1</f>
        <v>OCT</v>
      </c>
      <c r="L161" t="str">
        <f>ALL!M1</f>
        <v>NOV</v>
      </c>
      <c r="M161" t="str">
        <f>ALL!N1</f>
        <v>DEC</v>
      </c>
      <c r="N161" t="str">
        <f>ALL!O1</f>
        <v>JAN'27</v>
      </c>
      <c r="O161" t="str">
        <f>ALL!P1</f>
        <v>FEB'27</v>
      </c>
      <c r="P161" t="str">
        <f>ALL!Q1</f>
        <v>MAR'27</v>
      </c>
    </row>
    <row r="162" spans="1:16" x14ac:dyDescent="0.2">
      <c r="A162" t="str">
        <f>A2</f>
        <v>Staff</v>
      </c>
      <c r="B162">
        <f t="shared" ref="B162:P162" si="0">B2</f>
        <v>148</v>
      </c>
      <c r="C162">
        <f t="shared" si="0"/>
        <v>149</v>
      </c>
      <c r="D162">
        <f t="shared" si="0"/>
        <v>149</v>
      </c>
      <c r="E162">
        <f t="shared" si="0"/>
        <v>151</v>
      </c>
      <c r="F162">
        <f t="shared" si="0"/>
        <v>150</v>
      </c>
      <c r="G162">
        <f t="shared" si="0"/>
        <v>150</v>
      </c>
      <c r="H162">
        <f t="shared" si="0"/>
        <v>149</v>
      </c>
      <c r="I162">
        <f t="shared" si="0"/>
        <v>149</v>
      </c>
      <c r="J162">
        <f t="shared" si="0"/>
        <v>149</v>
      </c>
      <c r="K162">
        <f t="shared" si="0"/>
        <v>149</v>
      </c>
      <c r="L162">
        <f t="shared" si="0"/>
        <v>149</v>
      </c>
      <c r="M162">
        <f t="shared" si="0"/>
        <v>149</v>
      </c>
      <c r="N162">
        <f t="shared" si="0"/>
        <v>149</v>
      </c>
      <c r="O162">
        <f t="shared" si="0"/>
        <v>149</v>
      </c>
      <c r="P162">
        <f t="shared" si="0"/>
        <v>149</v>
      </c>
    </row>
    <row r="163" spans="1:16" x14ac:dyDescent="0.2">
      <c r="A163" t="str">
        <f>A4</f>
        <v>Plan</v>
      </c>
      <c r="E163">
        <f t="shared" ref="E163:P163" si="1">E4</f>
        <v>143</v>
      </c>
      <c r="F163">
        <f t="shared" si="1"/>
        <v>147</v>
      </c>
      <c r="G163">
        <f t="shared" si="1"/>
        <v>144</v>
      </c>
      <c r="H163">
        <f t="shared" si="1"/>
        <v>143</v>
      </c>
      <c r="I163">
        <f t="shared" si="1"/>
        <v>140</v>
      </c>
      <c r="J163">
        <f t="shared" si="1"/>
        <v>139</v>
      </c>
      <c r="K163">
        <f t="shared" si="1"/>
        <v>132</v>
      </c>
      <c r="L163">
        <f t="shared" si="1"/>
        <v>130</v>
      </c>
      <c r="M163">
        <f t="shared" si="1"/>
        <v>130</v>
      </c>
      <c r="N163">
        <f t="shared" si="1"/>
        <v>105</v>
      </c>
      <c r="O163">
        <f t="shared" si="1"/>
        <v>104</v>
      </c>
      <c r="P163">
        <f t="shared" si="1"/>
        <v>104</v>
      </c>
    </row>
    <row r="164" spans="1:16" x14ac:dyDescent="0.2">
      <c r="A164" t="s">
        <v>130</v>
      </c>
      <c r="B164">
        <f>SUM(ALL!C22:C23)</f>
        <v>128.04000000000002</v>
      </c>
      <c r="C164">
        <f>SUM(ALL!D22:D23)</f>
        <v>136.05000000000001</v>
      </c>
      <c r="D164">
        <f>SUM(ALL!E22:E23)</f>
        <v>137.04000000000002</v>
      </c>
      <c r="E164">
        <f>SUM(ALL!F22:F23)</f>
        <v>137.80000000000001</v>
      </c>
    </row>
    <row r="165" spans="1:16" x14ac:dyDescent="0.2">
      <c r="A165" t="s">
        <v>133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10" activePane="bottomLeft" state="frozen"/>
      <selection pane="bottomLeft" activeCell="C12" sqref="B12:C12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14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14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12" workbookViewId="0">
      <selection activeCell="J48" sqref="J4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4.0900000000000034</v>
      </c>
      <c r="H64" s="67">
        <f t="shared" si="2"/>
        <v>2.8900000000000006</v>
      </c>
      <c r="I64" s="67">
        <f t="shared" si="2"/>
        <v>3.4399999999999977</v>
      </c>
      <c r="J64" s="67">
        <f t="shared" si="2"/>
        <v>2.9399999999999977</v>
      </c>
      <c r="K64" s="67">
        <f t="shared" si="2"/>
        <v>6.3100000000000023</v>
      </c>
      <c r="L64" s="67">
        <f t="shared" si="2"/>
        <v>7</v>
      </c>
      <c r="M64" s="67">
        <f t="shared" si="2"/>
        <v>7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93.593495934959364</v>
      </c>
      <c r="D66" s="59">
        <f>(AVERAGE(H63:J63)/AVERAGE(H62:J62))*100</f>
        <v>92.463414634146346</v>
      </c>
      <c r="E66" s="59">
        <f>(AVERAGE(K63:M63)/AVERAGE(K62:M62))*100</f>
        <v>83.487804878048777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29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0.3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0.7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1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-2.5000000000000355E-2</v>
      </c>
      <c r="G54" s="67">
        <f t="shared" si="0"/>
        <v>-2.5000000000000355E-2</v>
      </c>
      <c r="H54" s="67">
        <f t="shared" si="0"/>
        <v>1.8749999999999822E-2</v>
      </c>
      <c r="I54" s="67">
        <f t="shared" si="0"/>
        <v>0.70624999999999982</v>
      </c>
      <c r="J54" s="67">
        <f t="shared" si="0"/>
        <v>1.0687500000000001</v>
      </c>
      <c r="K54" s="67">
        <f t="shared" si="0"/>
        <v>1.2875000000000001</v>
      </c>
      <c r="L54" s="67">
        <f t="shared" si="0"/>
        <v>1.4125000000000001</v>
      </c>
      <c r="M54" s="67">
        <f t="shared" si="0"/>
        <v>1.6124999999999998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94.583333333333343</v>
      </c>
      <c r="D56" s="59">
        <f>(AVERAGE(H53:J53)/AVERAGE(H52:J52))*100</f>
        <v>85.052083333333343</v>
      </c>
      <c r="E56" s="59">
        <f>(AVERAGE(K53:M53)/AVERAGE(K52:M52))*100</f>
        <v>64.0625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0.10000000000000009</v>
      </c>
      <c r="F74" s="67">
        <f t="shared" si="4"/>
        <v>0.48499999999999988</v>
      </c>
      <c r="G74" s="67">
        <f t="shared" si="4"/>
        <v>0.53500000000000014</v>
      </c>
      <c r="H74" s="67">
        <f t="shared" si="4"/>
        <v>0.63499999999999979</v>
      </c>
      <c r="I74" s="67">
        <f t="shared" si="4"/>
        <v>0.56000000000000005</v>
      </c>
      <c r="J74" s="67">
        <f t="shared" si="4"/>
        <v>0.87999999999999989</v>
      </c>
      <c r="K74" s="67">
        <f t="shared" si="4"/>
        <v>0.87999999999999989</v>
      </c>
      <c r="L74" s="67">
        <f t="shared" si="4"/>
        <v>0.87999999999999989</v>
      </c>
      <c r="M74" s="67">
        <f t="shared" si="4"/>
        <v>0.95500000000000007</v>
      </c>
      <c r="N74" s="67">
        <f t="shared" si="4"/>
        <v>1.2200000000000002</v>
      </c>
      <c r="O74" s="67">
        <f t="shared" si="4"/>
        <v>1.2200000000000002</v>
      </c>
      <c r="P74" s="67">
        <f t="shared" si="4"/>
        <v>1.2200000000000002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90.666666666666657</v>
      </c>
      <c r="D76" s="59">
        <f>(AVERAGE(H73:J73)/AVERAGE(H72:J72))*100</f>
        <v>82.708333333333343</v>
      </c>
      <c r="E76" s="59">
        <f>(AVERAGE(K73:M73)/AVERAGE(K72:M72))*100</f>
        <v>77.375</v>
      </c>
      <c r="F76" s="59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-1.3849999999999998</v>
      </c>
      <c r="C84" s="67">
        <f t="shared" ref="C84:P84" si="6">C82-C83</f>
        <v>-1.0750000000000002</v>
      </c>
      <c r="D84" s="67">
        <f t="shared" si="6"/>
        <v>-2.2199999999999998</v>
      </c>
      <c r="E84" s="67">
        <f t="shared" si="6"/>
        <v>-0.6549999999999998</v>
      </c>
      <c r="F84" s="67">
        <f t="shared" si="6"/>
        <v>-0.68500000000000005</v>
      </c>
      <c r="G84" s="67">
        <f t="shared" si="6"/>
        <v>-0.46499999999999986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178</v>
      </c>
      <c r="C86" s="59">
        <f>(AVERAGE(E83:G83)/AVERAGE(E82:G82))*100</f>
        <v>130.08333333333331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-0.27499999999999991</v>
      </c>
      <c r="C94" s="67">
        <f t="shared" ref="C94:P94" si="8">C92-C93</f>
        <v>-0.27499999999999991</v>
      </c>
      <c r="D94" s="67">
        <f t="shared" si="8"/>
        <v>-0.22500000000000009</v>
      </c>
      <c r="E94" s="67">
        <f t="shared" si="8"/>
        <v>0.125</v>
      </c>
      <c r="F94" s="67">
        <f t="shared" si="8"/>
        <v>-0.11249999999999982</v>
      </c>
      <c r="G94" s="67">
        <f t="shared" si="8"/>
        <v>0.13750000000000018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108.6111111111111</v>
      </c>
      <c r="C96" s="59">
        <f>(AVERAGE(E93:G93)/AVERAGE(E92:G92))*100</f>
        <v>98.333333333333329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-0.16000000000000014</v>
      </c>
      <c r="G104" s="67">
        <f t="shared" si="10"/>
        <v>-5.9999999999999609E-2</v>
      </c>
      <c r="H104" s="67">
        <f t="shared" si="10"/>
        <v>-0.27500000000000036</v>
      </c>
      <c r="I104" s="67">
        <f t="shared" si="10"/>
        <v>-0.15200000000000014</v>
      </c>
      <c r="J104" s="67">
        <f t="shared" si="10"/>
        <v>7.2999999999999954E-2</v>
      </c>
      <c r="K104" s="67">
        <f t="shared" si="10"/>
        <v>0.27300000000000013</v>
      </c>
      <c r="L104" s="67">
        <f t="shared" si="10"/>
        <v>0.51500000000000012</v>
      </c>
      <c r="M104" s="67">
        <f t="shared" si="10"/>
        <v>1.29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100.58333333333334</v>
      </c>
      <c r="D106" s="59">
        <f>(AVERAGE(H103:J103)/AVERAGE(H102:J102))*100</f>
        <v>102.94999999999999</v>
      </c>
      <c r="E106" s="59">
        <f>(AVERAGE(K103:M103)/AVERAGE(K102:M102))*100</f>
        <v>82.683333333333337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-0.28000000000000025</v>
      </c>
      <c r="F114" s="67">
        <f t="shared" si="12"/>
        <v>-0.99000000000000021</v>
      </c>
      <c r="G114" s="67">
        <f t="shared" si="12"/>
        <v>-0.49000000000000021</v>
      </c>
      <c r="H114" s="67">
        <f t="shared" si="12"/>
        <v>-0.15000000000000036</v>
      </c>
      <c r="I114" s="67">
        <f t="shared" si="12"/>
        <v>0.29999999999999982</v>
      </c>
      <c r="J114" s="67">
        <f t="shared" si="12"/>
        <v>0.5</v>
      </c>
      <c r="K114" s="67">
        <f t="shared" si="12"/>
        <v>0.5</v>
      </c>
      <c r="L114" s="67">
        <f t="shared" si="12"/>
        <v>0.5</v>
      </c>
      <c r="M114" s="67">
        <f t="shared" si="12"/>
        <v>0.5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111.73333333333333</v>
      </c>
      <c r="D116" s="59">
        <f>(AVERAGE(H113:J113)/AVERAGE(H112:J112))*100</f>
        <v>95.666666666666671</v>
      </c>
      <c r="E116" s="59">
        <f>(AVERAGE(K113:M113)/AVERAGE(K112:M112))*100</f>
        <v>90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98.850000000000009</v>
      </c>
      <c r="D156">
        <f>SD!E36*100</f>
        <v>100.98</v>
      </c>
      <c r="E156">
        <f>SD!F36*100</f>
        <v>91.24</v>
      </c>
      <c r="F156">
        <f>SD!G36*100</f>
        <v>70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24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20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0.55869999999999997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0.44130000000000003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-0.10499999999999998</v>
      </c>
      <c r="G84" s="67">
        <f t="shared" si="6"/>
        <v>-0.125</v>
      </c>
      <c r="H84" s="67">
        <f t="shared" si="6"/>
        <v>-0.125</v>
      </c>
      <c r="I84" s="67">
        <f t="shared" si="6"/>
        <v>-0.125</v>
      </c>
      <c r="J84" s="67">
        <f t="shared" si="6"/>
        <v>0.42499999999999982</v>
      </c>
      <c r="K84" s="67">
        <f t="shared" si="6"/>
        <v>0.125</v>
      </c>
      <c r="L84" s="67">
        <f t="shared" si="6"/>
        <v>7.5000000000000178E-2</v>
      </c>
      <c r="M84" s="67">
        <f t="shared" si="6"/>
        <v>0.375</v>
      </c>
      <c r="N84" s="67">
        <f t="shared" si="6"/>
        <v>2.6</v>
      </c>
      <c r="O84" s="67">
        <f t="shared" si="6"/>
        <v>2.6</v>
      </c>
      <c r="P84" s="67">
        <f t="shared" si="6"/>
        <v>2.6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98.3</v>
      </c>
      <c r="D86" s="59">
        <f>(AVERAGE(H83:J83)/AVERAGE(H82:J82))*100</f>
        <v>98.055555555555557</v>
      </c>
      <c r="E86" s="59">
        <f>(AVERAGE(K83:M83)/AVERAGE(K82:M82))*100</f>
        <v>93.611111111111128</v>
      </c>
      <c r="F86" s="59">
        <f>(AVERAGE(N83:P83)/AVERAGE(N82:P82))*100</f>
        <v>13.333333333333336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90.03</v>
      </c>
      <c r="D156">
        <f>AIC!E36*100</f>
        <v>79.239999999999995</v>
      </c>
      <c r="E156">
        <f>AIC!F36*100</f>
        <v>71.150000000000006</v>
      </c>
      <c r="F156">
        <f>AIC!G36*100</f>
        <v>44.13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2</v>
      </c>
      <c r="D157">
        <f>AIC!E37</f>
        <v>4</v>
      </c>
      <c r="E157">
        <f>AIC!F37</f>
        <v>5</v>
      </c>
      <c r="F157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21" workbookViewId="0">
      <selection activeCell="H38" sqref="H3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E88" sqref="E88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26"/>
  <sheetViews>
    <sheetView workbookViewId="0">
      <pane ySplit="1" topLeftCell="A2" activePane="bottomLeft" state="frozen"/>
      <selection pane="bottomLeft" activeCell="H22" sqref="H22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2.46</v>
      </c>
      <c r="C2" s="8">
        <v>2.4649999999999999</v>
      </c>
      <c r="D2" s="8">
        <v>2.4649999999999999</v>
      </c>
      <c r="E2" s="8">
        <v>1.95</v>
      </c>
      <c r="F2" s="8">
        <v>2.2999999999999998</v>
      </c>
      <c r="G2" s="8">
        <v>3.2</v>
      </c>
      <c r="H2" s="8">
        <v>2.9</v>
      </c>
      <c r="I2" s="8">
        <v>2.7749999999999999</v>
      </c>
      <c r="J2" s="8">
        <v>2.7749999999999999</v>
      </c>
      <c r="K2" s="8">
        <v>2.6124999999999998</v>
      </c>
      <c r="L2" s="8">
        <v>2.6124999999999998</v>
      </c>
      <c r="M2" s="8">
        <v>2.6124999999999998</v>
      </c>
      <c r="N2" s="8">
        <v>0.80249999999999999</v>
      </c>
      <c r="O2" s="8">
        <v>0.80249999999999999</v>
      </c>
      <c r="P2" s="8">
        <v>0.80249999999999999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3.37</v>
      </c>
      <c r="C3" s="8">
        <v>2.77</v>
      </c>
      <c r="D3" s="8">
        <v>2.59</v>
      </c>
      <c r="E3" s="8">
        <v>2.08</v>
      </c>
      <c r="F3" s="8">
        <v>2.13</v>
      </c>
      <c r="G3" s="8">
        <v>1.75</v>
      </c>
      <c r="H3" s="8">
        <v>2</v>
      </c>
      <c r="I3" s="8">
        <v>2</v>
      </c>
      <c r="J3" s="8">
        <v>2</v>
      </c>
      <c r="K3" s="8">
        <v>2</v>
      </c>
      <c r="L3" s="8">
        <v>2</v>
      </c>
      <c r="M3" s="8">
        <v>2</v>
      </c>
      <c r="N3" s="8">
        <v>1.55</v>
      </c>
      <c r="O3" s="8">
        <v>1.55</v>
      </c>
      <c r="P3" s="8">
        <v>1.55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1.75</v>
      </c>
      <c r="C4" s="8">
        <v>1.1000000000000001</v>
      </c>
      <c r="D4" s="8">
        <v>1.2749999999999999</v>
      </c>
      <c r="E4" s="8">
        <v>0.95</v>
      </c>
      <c r="F4" s="8">
        <v>0.8</v>
      </c>
      <c r="G4" s="8">
        <v>0.6</v>
      </c>
      <c r="H4" s="8">
        <v>0.5</v>
      </c>
      <c r="I4" s="8">
        <v>0.5</v>
      </c>
      <c r="J4" s="8">
        <v>0.5</v>
      </c>
      <c r="K4" s="8">
        <v>0.5</v>
      </c>
      <c r="L4" s="8">
        <v>0.5</v>
      </c>
      <c r="M4" s="8">
        <v>0.5</v>
      </c>
      <c r="N4" s="8">
        <v>0.5</v>
      </c>
      <c r="O4" s="8">
        <v>0.5</v>
      </c>
      <c r="P4" s="8">
        <v>0.5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2.7250000000000001</v>
      </c>
      <c r="F5" s="8">
        <v>2.875</v>
      </c>
      <c r="G5" s="8">
        <v>3.46</v>
      </c>
      <c r="H5" s="8">
        <v>2.6850000000000001</v>
      </c>
      <c r="I5" s="8">
        <v>2.9849999999999999</v>
      </c>
      <c r="J5" s="8">
        <v>2.9849999999999999</v>
      </c>
      <c r="K5" s="8">
        <v>2.9224999999999999</v>
      </c>
      <c r="L5" s="8">
        <v>2.9224999999999999</v>
      </c>
      <c r="M5" s="8">
        <v>2.9224999999999999</v>
      </c>
      <c r="N5" s="8">
        <v>2.81</v>
      </c>
      <c r="O5" s="8">
        <v>2.81</v>
      </c>
      <c r="P5" s="8">
        <v>2.81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3.25</v>
      </c>
      <c r="C6" s="8">
        <v>3.625</v>
      </c>
      <c r="D6" s="8">
        <v>3.67</v>
      </c>
      <c r="E6" s="8">
        <v>3.4824999999999999</v>
      </c>
      <c r="F6" s="8">
        <v>2.9824999999999999</v>
      </c>
      <c r="G6" s="8">
        <v>2.9874999999999998</v>
      </c>
      <c r="H6" s="8">
        <v>2.3125</v>
      </c>
      <c r="I6" s="8">
        <v>2.2124999999999999</v>
      </c>
      <c r="J6" s="8">
        <v>3.1124999999999998</v>
      </c>
      <c r="K6" s="8">
        <v>3.1124999999999998</v>
      </c>
      <c r="L6" s="8">
        <v>3.1124999999999998</v>
      </c>
      <c r="M6" s="8">
        <v>3.1124999999999998</v>
      </c>
      <c r="N6" s="8">
        <v>3.05</v>
      </c>
      <c r="O6" s="8">
        <v>3.05</v>
      </c>
      <c r="P6" s="8">
        <v>3.05</v>
      </c>
      <c r="Q6" s="8"/>
      <c r="R6" s="8"/>
      <c r="S6" s="56"/>
      <c r="T6" s="8"/>
      <c r="U6" s="8"/>
      <c r="V6" s="56"/>
    </row>
    <row r="7" spans="1:2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128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29"/>
  <sheetViews>
    <sheetView topLeftCell="A7" workbookViewId="0">
      <selection activeCell="A31" sqref="A31"/>
    </sheetView>
  </sheetViews>
  <sheetFormatPr baseColWidth="10" defaultRowHeight="16" x14ac:dyDescent="0.2"/>
  <cols>
    <col min="1" max="1" width="22.832031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2.46</v>
      </c>
      <c r="C2">
        <f>IF(Project!C2&gt;0,Project!C2,"")</f>
        <v>2.4649999999999999</v>
      </c>
      <c r="D2">
        <f>IF(Project!D2&gt;0,Project!D2,"")</f>
        <v>2.4649999999999999</v>
      </c>
      <c r="E2">
        <f>IF(Project!E2&gt;0,Project!E2,"")</f>
        <v>1.95</v>
      </c>
      <c r="F2">
        <f>IF(Project!F2&gt;0,Project!F2,"")</f>
        <v>2.2999999999999998</v>
      </c>
      <c r="G2">
        <f>IF(Project!G2&gt;0,Project!G2,"")</f>
        <v>3.2</v>
      </c>
      <c r="H2">
        <f>IF(Project!H2&gt;0,Project!H2,"")</f>
        <v>2.9</v>
      </c>
      <c r="I2">
        <f>IF(Project!I2&gt;0,Project!I2,"")</f>
        <v>2.7749999999999999</v>
      </c>
      <c r="J2">
        <f>IF(Project!J2&gt;0,Project!J2,"")</f>
        <v>2.7749999999999999</v>
      </c>
      <c r="K2">
        <f>IF(Project!K2&gt;0,Project!K2,"")</f>
        <v>2.6124999999999998</v>
      </c>
      <c r="L2">
        <f>IF(Project!L2&gt;0,Project!L2,"")</f>
        <v>2.6124999999999998</v>
      </c>
      <c r="M2">
        <f>IF(Project!M2&gt;0,Project!M2,"")</f>
        <v>2.6124999999999998</v>
      </c>
      <c r="N2">
        <f>IF(Project!N2&gt;0,Project!N2,"")</f>
        <v>0.80249999999999999</v>
      </c>
      <c r="O2">
        <f>IF(Project!O2&gt;0,Project!O2,"")</f>
        <v>0.80249999999999999</v>
      </c>
      <c r="P2">
        <f>IF(Project!P2&gt;0,Project!P2,"")</f>
        <v>0.80249999999999999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3.37</v>
      </c>
      <c r="C3">
        <f>IF(Project!C3&gt;0,Project!C3,"")</f>
        <v>2.77</v>
      </c>
      <c r="D3">
        <f>IF(Project!D3&gt;0,Project!D3,"")</f>
        <v>2.59</v>
      </c>
      <c r="E3">
        <f>IF(Project!E3&gt;0,Project!E3,"")</f>
        <v>2.08</v>
      </c>
      <c r="F3">
        <f>IF(Project!F3&gt;0,Project!F3,"")</f>
        <v>2.13</v>
      </c>
      <c r="G3">
        <f>IF(Project!G3&gt;0,Project!G3,"")</f>
        <v>1.75</v>
      </c>
      <c r="H3">
        <f>IF(Project!H3&gt;0,Project!H3,"")</f>
        <v>2</v>
      </c>
      <c r="I3">
        <f>IF(Project!I3&gt;0,Project!I3,"")</f>
        <v>2</v>
      </c>
      <c r="J3">
        <f>IF(Project!J3&gt;0,Project!J3,"")</f>
        <v>2</v>
      </c>
      <c r="K3">
        <f>IF(Project!K3&gt;0,Project!K3,"")</f>
        <v>2</v>
      </c>
      <c r="L3">
        <f>IF(Project!L3&gt;0,Project!L3,"")</f>
        <v>2</v>
      </c>
      <c r="M3">
        <f>IF(Project!M3&gt;0,Project!M3,"")</f>
        <v>2</v>
      </c>
      <c r="N3">
        <f>IF(Project!N3&gt;0,Project!N3,"")</f>
        <v>1.55</v>
      </c>
      <c r="O3">
        <f>IF(Project!O3&gt;0,Project!O3,"")</f>
        <v>1.55</v>
      </c>
      <c r="P3">
        <f>IF(Project!P3&gt;0,Project!P3,"")</f>
        <v>1.55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1.75</v>
      </c>
      <c r="C4">
        <f>IF(Project!C4&gt;0,Project!C4,"")</f>
        <v>1.1000000000000001</v>
      </c>
      <c r="D4">
        <f>IF(Project!D4&gt;0,Project!D4,"")</f>
        <v>1.2749999999999999</v>
      </c>
      <c r="E4">
        <f>IF(Project!E4&gt;0,Project!E4,"")</f>
        <v>0.95</v>
      </c>
      <c r="F4">
        <f>IF(Project!F4&gt;0,Project!F4,"")</f>
        <v>0.8</v>
      </c>
      <c r="G4">
        <f>IF(Project!G4&gt;0,Project!G4,"")</f>
        <v>0.6</v>
      </c>
      <c r="H4">
        <f>IF(Project!H4&gt;0,Project!H4,"")</f>
        <v>0.5</v>
      </c>
      <c r="I4">
        <f>IF(Project!I4&gt;0,Project!I4,"")</f>
        <v>0.5</v>
      </c>
      <c r="J4">
        <f>IF(Project!J4&gt;0,Project!J4,"")</f>
        <v>0.5</v>
      </c>
      <c r="K4">
        <f>IF(Project!K4&gt;0,Project!K4,"")</f>
        <v>0.5</v>
      </c>
      <c r="L4">
        <f>IF(Project!L4&gt;0,Project!L4,"")</f>
        <v>0.5</v>
      </c>
      <c r="M4">
        <f>IF(Project!M4&gt;0,Project!M4,"")</f>
        <v>0.5</v>
      </c>
      <c r="N4">
        <f>IF(Project!N4&gt;0,Project!N4,"")</f>
        <v>0.5</v>
      </c>
      <c r="O4">
        <f>IF(Project!O4&gt;0,Project!O4,"")</f>
        <v>0.5</v>
      </c>
      <c r="P4">
        <f>IF(Project!P4&gt;0,Project!P4,"")</f>
        <v>0.5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2.7250000000000001</v>
      </c>
      <c r="F5">
        <f>IF(Project!F5&gt;0,Project!F5,"")</f>
        <v>2.875</v>
      </c>
      <c r="G5">
        <f>IF(Project!G5&gt;0,Project!G5,"")</f>
        <v>3.46</v>
      </c>
      <c r="H5">
        <f>IF(Project!H5&gt;0,Project!H5,"")</f>
        <v>2.6850000000000001</v>
      </c>
      <c r="I5">
        <f>IF(Project!I5&gt;0,Project!I5,"")</f>
        <v>2.9849999999999999</v>
      </c>
      <c r="J5">
        <f>IF(Project!J5&gt;0,Project!J5,"")</f>
        <v>2.9849999999999999</v>
      </c>
      <c r="K5">
        <f>IF(Project!K5&gt;0,Project!K5,"")</f>
        <v>2.9224999999999999</v>
      </c>
      <c r="L5">
        <f>IF(Project!L5&gt;0,Project!L5,"")</f>
        <v>2.9224999999999999</v>
      </c>
      <c r="M5">
        <f>IF(Project!M5&gt;0,Project!M5,"")</f>
        <v>2.9224999999999999</v>
      </c>
      <c r="N5">
        <f>IF(Project!N5&gt;0,Project!N5,"")</f>
        <v>2.81</v>
      </c>
      <c r="O5">
        <f>IF(Project!O5&gt;0,Project!O5,"")</f>
        <v>2.81</v>
      </c>
      <c r="P5">
        <f>IF(Project!P5&gt;0,Project!P5,"")</f>
        <v>2.81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3.25</v>
      </c>
      <c r="C6">
        <f>IF(Project!C6&gt;0,Project!C6,"")</f>
        <v>3.625</v>
      </c>
      <c r="D6">
        <f>IF(Project!D6&gt;0,Project!D6,"")</f>
        <v>3.67</v>
      </c>
      <c r="E6">
        <f>IF(Project!E6&gt;0,Project!E6,"")</f>
        <v>3.4824999999999999</v>
      </c>
      <c r="F6">
        <f>IF(Project!F6&gt;0,Project!F6,"")</f>
        <v>2.9824999999999999</v>
      </c>
      <c r="G6">
        <f>IF(Project!G6&gt;0,Project!G6,"")</f>
        <v>2.9874999999999998</v>
      </c>
      <c r="H6">
        <f>IF(Project!H6&gt;0,Project!H6,"")</f>
        <v>2.3125</v>
      </c>
      <c r="I6">
        <f>IF(Project!I6&gt;0,Project!I6,"")</f>
        <v>2.2124999999999999</v>
      </c>
      <c r="J6">
        <f>IF(Project!J6&gt;0,Project!J6,"")</f>
        <v>3.1124999999999998</v>
      </c>
      <c r="K6">
        <f>IF(Project!K6&gt;0,Project!K6,"")</f>
        <v>3.1124999999999998</v>
      </c>
      <c r="L6">
        <f>IF(Project!L6&gt;0,Project!L6,"")</f>
        <v>3.1124999999999998</v>
      </c>
      <c r="M6">
        <f>IF(Project!M6&gt;0,Project!M6,"")</f>
        <v>3.1124999999999998</v>
      </c>
      <c r="N6">
        <f>IF(Project!N6&gt;0,Project!N6,"")</f>
        <v>3.05</v>
      </c>
      <c r="O6">
        <f>IF(Project!O6&gt;0,Project!O6,"")</f>
        <v>3.05</v>
      </c>
      <c r="P6">
        <f>IF(Project!P6&gt;0,Project!P6,"")</f>
        <v>3.05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/>
      </c>
      <c r="B7" t="str">
        <f>IF(Project!B7&gt;0,Project!B7,"")</f>
        <v/>
      </c>
      <c r="C7" t="str">
        <f>IF(Project!C7&gt;0,Project!C7,"")</f>
        <v/>
      </c>
      <c r="D7" t="str">
        <f>IF(Project!D7&gt;0,Project!D7,"")</f>
        <v/>
      </c>
      <c r="E7" t="str">
        <f>IF(Project!E7&gt;0,Project!E7,"")</f>
        <v/>
      </c>
      <c r="F7" t="str">
        <f>IF(Project!F7&gt;0,Project!F7,"")</f>
        <v/>
      </c>
      <c r="G7" t="str">
        <f>IF(Project!G7&gt;0,Project!G7,"")</f>
        <v/>
      </c>
      <c r="H7" t="str">
        <f>IF(Project!H7&gt;0,Project!H7,"")</f>
        <v/>
      </c>
      <c r="I7" t="str">
        <f>IF(Project!I7&gt;0,Project!I7,"")</f>
        <v/>
      </c>
      <c r="J7" t="str">
        <f>IF(Project!J7&gt;0,Project!J7,"")</f>
        <v/>
      </c>
      <c r="K7" t="str">
        <f>IF(Project!K7&gt;0,Project!K7,"")</f>
        <v/>
      </c>
      <c r="L7" t="str">
        <f>IF(Project!L7&gt;0,Project!L7,"")</f>
        <v/>
      </c>
      <c r="M7" t="str">
        <f>IF(Project!M7&gt;0,Project!M7,"")</f>
        <v/>
      </c>
      <c r="N7" t="str">
        <f>IF(Project!N7&gt;0,Project!N7,"")</f>
        <v/>
      </c>
      <c r="O7" t="str">
        <f>IF(Project!O7&gt;0,Project!O7,"")</f>
        <v/>
      </c>
      <c r="P7" t="str">
        <f>IF(Project!P7&gt;0,Project!P7,"")</f>
        <v/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tr">
        <f>IF(Project!A26&gt;0,Project!A26,"")</f>
        <v>WeShape platform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>
        <f>IF(Project!B26&gt;0,Project!B26,"")</f>
        <v>0.8</v>
      </c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>
        <f>IF(Project!F26&gt;0,Project!F26,"")</f>
        <v>34.655000000000001</v>
      </c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 t="str">
        <f>IF(Project!G26&gt;0,Project!G26,"")</f>
        <v/>
      </c>
    </row>
    <row r="28" spans="1:20" x14ac:dyDescent="0.2">
      <c r="A28" s="58" t="s">
        <v>129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2026-05-19T04:41:37Z</dcterms:modified>
</cp:coreProperties>
</file>