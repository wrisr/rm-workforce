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866B959A-1F95-544D-9FD8-F34B37D49CE6}" xr6:coauthVersionLast="47" xr6:coauthVersionMax="47" xr10:uidLastSave="{00000000-0000-0000-0000-000000000000}"/>
  <bookViews>
    <workbookView xWindow="9320" yWindow="7920" windowWidth="28360" windowHeight="12340" activeTab="13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  <sheet name="TDE" sheetId="11" r:id="rId11"/>
    <sheet name="GraphTDE" sheetId="12" r:id="rId12"/>
    <sheet name="Project" sheetId="13" r:id="rId13"/>
    <sheet name="GraphPJ" sheetId="1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14" l="1"/>
  <c r="D33" i="14"/>
  <c r="E33" i="14"/>
  <c r="C34" i="14"/>
  <c r="D34" i="14"/>
  <c r="E34" i="14"/>
  <c r="F34" i="14"/>
  <c r="G34" i="14"/>
  <c r="H34" i="14"/>
  <c r="I34" i="14"/>
  <c r="J34" i="14"/>
  <c r="K34" i="14"/>
  <c r="L34" i="14"/>
  <c r="M34" i="14"/>
  <c r="C35" i="14"/>
  <c r="D35" i="14"/>
  <c r="E35" i="14"/>
  <c r="C36" i="14"/>
  <c r="D36" i="14"/>
  <c r="E36" i="14"/>
  <c r="F36" i="14"/>
  <c r="G36" i="14"/>
  <c r="H36" i="14"/>
  <c r="I36" i="14"/>
  <c r="J36" i="14"/>
  <c r="K36" i="14"/>
  <c r="L36" i="14"/>
  <c r="M36" i="14"/>
  <c r="C37" i="14"/>
  <c r="D37" i="14"/>
  <c r="E37" i="14"/>
  <c r="B37" i="14"/>
  <c r="B36" i="14"/>
  <c r="B35" i="14"/>
  <c r="B34" i="14"/>
  <c r="B33" i="14"/>
  <c r="C32" i="14"/>
  <c r="D32" i="14"/>
  <c r="E32" i="14"/>
  <c r="F32" i="14"/>
  <c r="G32" i="14"/>
  <c r="H32" i="14"/>
  <c r="I32" i="14"/>
  <c r="J32" i="14"/>
  <c r="K32" i="14"/>
  <c r="L32" i="14"/>
  <c r="M32" i="14"/>
  <c r="B32" i="14"/>
  <c r="A37" i="14"/>
  <c r="A36" i="14"/>
  <c r="A35" i="14"/>
  <c r="A34" i="14"/>
  <c r="A33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32" i="14"/>
  <c r="C34" i="13"/>
  <c r="D34" i="13"/>
  <c r="E34" i="13"/>
  <c r="B34" i="13"/>
  <c r="B31" i="13"/>
  <c r="C31" i="13"/>
  <c r="D31" i="13"/>
  <c r="E31" i="13"/>
  <c r="F31" i="13"/>
  <c r="G31" i="13"/>
  <c r="H31" i="13"/>
  <c r="I31" i="13"/>
  <c r="J31" i="13"/>
  <c r="K31" i="13"/>
  <c r="L31" i="13"/>
  <c r="M31" i="13"/>
  <c r="E163" i="3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P84" i="12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P74" i="12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P64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P94" i="10"/>
  <c r="O94" i="10"/>
  <c r="N94" i="10"/>
  <c r="M94" i="10"/>
  <c r="L94" i="10"/>
  <c r="K94" i="10"/>
  <c r="J94" i="10"/>
  <c r="I94" i="10"/>
  <c r="H94" i="10"/>
  <c r="G94" i="10"/>
  <c r="F94" i="10"/>
  <c r="E94" i="10"/>
  <c r="D94" i="10"/>
  <c r="C94" i="10"/>
  <c r="B94" i="10"/>
  <c r="P84" i="10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P74" i="10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P64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B136" i="8"/>
  <c r="P134" i="8"/>
  <c r="O134" i="8"/>
  <c r="N134" i="8"/>
  <c r="M134" i="8"/>
  <c r="L134" i="8"/>
  <c r="K134" i="8"/>
  <c r="J134" i="8"/>
  <c r="I134" i="8"/>
  <c r="H134" i="8"/>
  <c r="G134" i="8"/>
  <c r="F134" i="8"/>
  <c r="E134" i="8"/>
  <c r="D134" i="8"/>
  <c r="C134" i="8"/>
  <c r="B134" i="8"/>
  <c r="P124" i="8"/>
  <c r="O124" i="8"/>
  <c r="N124" i="8"/>
  <c r="M124" i="8"/>
  <c r="L124" i="8"/>
  <c r="K124" i="8"/>
  <c r="J124" i="8"/>
  <c r="I124" i="8"/>
  <c r="H124" i="8"/>
  <c r="G124" i="8"/>
  <c r="F124" i="8"/>
  <c r="E124" i="8"/>
  <c r="D124" i="8"/>
  <c r="C124" i="8"/>
  <c r="B124" i="8"/>
  <c r="P114" i="8"/>
  <c r="O114" i="8"/>
  <c r="N114" i="8"/>
  <c r="M114" i="8"/>
  <c r="L114" i="8"/>
  <c r="K114" i="8"/>
  <c r="J114" i="8"/>
  <c r="I114" i="8"/>
  <c r="H114" i="8"/>
  <c r="G114" i="8"/>
  <c r="F114" i="8"/>
  <c r="E114" i="8"/>
  <c r="D114" i="8"/>
  <c r="C114" i="8"/>
  <c r="B114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P94" i="8"/>
  <c r="O94" i="8"/>
  <c r="N94" i="8"/>
  <c r="M94" i="8"/>
  <c r="L94" i="8"/>
  <c r="K94" i="8"/>
  <c r="J94" i="8"/>
  <c r="I94" i="8"/>
  <c r="H94" i="8"/>
  <c r="G94" i="8"/>
  <c r="F94" i="8"/>
  <c r="E94" i="8"/>
  <c r="D94" i="8"/>
  <c r="C94" i="8"/>
  <c r="B94" i="8"/>
  <c r="P84" i="8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P74" i="8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P64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P64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B54" i="4"/>
  <c r="B55" i="4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1" i="14"/>
  <c r="F22" i="14"/>
  <c r="F23" i="14"/>
  <c r="F24" i="14"/>
  <c r="F25" i="14"/>
  <c r="F26" i="14"/>
  <c r="A27" i="14"/>
  <c r="B27" i="14"/>
  <c r="B28" i="14"/>
  <c r="C27" i="14"/>
  <c r="C28" i="14"/>
  <c r="D27" i="14"/>
  <c r="D28" i="14"/>
  <c r="E27" i="14"/>
  <c r="E28" i="14"/>
  <c r="F27" i="14"/>
  <c r="F28" i="14"/>
  <c r="F86" i="12"/>
  <c r="E86" i="12"/>
  <c r="D86" i="12"/>
  <c r="C86" i="12"/>
  <c r="B86" i="12"/>
  <c r="A86" i="12"/>
  <c r="F85" i="12"/>
  <c r="E85" i="12"/>
  <c r="D85" i="12"/>
  <c r="C85" i="12"/>
  <c r="B85" i="12"/>
  <c r="F76" i="12"/>
  <c r="E76" i="12"/>
  <c r="D76" i="12"/>
  <c r="C76" i="12"/>
  <c r="B76" i="12"/>
  <c r="A76" i="12"/>
  <c r="F75" i="12"/>
  <c r="E75" i="12"/>
  <c r="D75" i="12"/>
  <c r="C75" i="12"/>
  <c r="B75" i="12"/>
  <c r="F66" i="12"/>
  <c r="E66" i="12"/>
  <c r="D66" i="12"/>
  <c r="C66" i="12"/>
  <c r="B66" i="12"/>
  <c r="A66" i="12"/>
  <c r="F65" i="12"/>
  <c r="E65" i="12"/>
  <c r="D65" i="12"/>
  <c r="C65" i="12"/>
  <c r="B65" i="12"/>
  <c r="F56" i="12"/>
  <c r="E56" i="12"/>
  <c r="D56" i="12"/>
  <c r="C56" i="12"/>
  <c r="B56" i="12"/>
  <c r="A56" i="12"/>
  <c r="F55" i="12"/>
  <c r="E55" i="12"/>
  <c r="D55" i="12"/>
  <c r="C55" i="12"/>
  <c r="B55" i="12"/>
  <c r="B96" i="10"/>
  <c r="A96" i="10"/>
  <c r="F95" i="10"/>
  <c r="E95" i="10"/>
  <c r="D95" i="10"/>
  <c r="C95" i="10"/>
  <c r="B95" i="10"/>
  <c r="F86" i="10"/>
  <c r="E86" i="10"/>
  <c r="D86" i="10"/>
  <c r="C86" i="10"/>
  <c r="B86" i="10"/>
  <c r="A86" i="10"/>
  <c r="F85" i="10"/>
  <c r="E85" i="10"/>
  <c r="D85" i="10"/>
  <c r="C85" i="10"/>
  <c r="B85" i="10"/>
  <c r="F76" i="10"/>
  <c r="E76" i="10"/>
  <c r="D76" i="10"/>
  <c r="C76" i="10"/>
  <c r="B76" i="10"/>
  <c r="A76" i="10"/>
  <c r="F75" i="10"/>
  <c r="E75" i="10"/>
  <c r="D75" i="10"/>
  <c r="C75" i="10"/>
  <c r="B75" i="10"/>
  <c r="F66" i="10"/>
  <c r="E66" i="10"/>
  <c r="D66" i="10"/>
  <c r="C66" i="10"/>
  <c r="B66" i="10"/>
  <c r="A66" i="10"/>
  <c r="F65" i="10"/>
  <c r="E65" i="10"/>
  <c r="D65" i="10"/>
  <c r="C65" i="10"/>
  <c r="B65" i="10"/>
  <c r="F56" i="10"/>
  <c r="E56" i="10"/>
  <c r="D56" i="10"/>
  <c r="C56" i="10"/>
  <c r="B56" i="10"/>
  <c r="A56" i="10"/>
  <c r="F55" i="10"/>
  <c r="E55" i="10"/>
  <c r="D55" i="10"/>
  <c r="C55" i="10"/>
  <c r="B55" i="10"/>
  <c r="F136" i="8"/>
  <c r="E136" i="8"/>
  <c r="D136" i="8"/>
  <c r="C136" i="8"/>
  <c r="A136" i="8"/>
  <c r="F135" i="8"/>
  <c r="E135" i="8"/>
  <c r="D135" i="8"/>
  <c r="C135" i="8"/>
  <c r="B135" i="8"/>
  <c r="F126" i="8"/>
  <c r="E126" i="8"/>
  <c r="D126" i="8"/>
  <c r="C126" i="8"/>
  <c r="B126" i="8"/>
  <c r="A126" i="8"/>
  <c r="F125" i="8"/>
  <c r="E125" i="8"/>
  <c r="D125" i="8"/>
  <c r="C125" i="8"/>
  <c r="B125" i="8"/>
  <c r="F116" i="8"/>
  <c r="E116" i="8"/>
  <c r="D116" i="8"/>
  <c r="C116" i="8"/>
  <c r="B116" i="8"/>
  <c r="A116" i="8"/>
  <c r="F115" i="8"/>
  <c r="E115" i="8"/>
  <c r="D115" i="8"/>
  <c r="C115" i="8"/>
  <c r="B115" i="8"/>
  <c r="F106" i="8"/>
  <c r="E106" i="8"/>
  <c r="D106" i="8"/>
  <c r="C106" i="8"/>
  <c r="B106" i="8"/>
  <c r="A106" i="8"/>
  <c r="F105" i="8"/>
  <c r="E105" i="8"/>
  <c r="D105" i="8"/>
  <c r="C105" i="8"/>
  <c r="B105" i="8"/>
  <c r="F96" i="8"/>
  <c r="E96" i="8"/>
  <c r="D96" i="8"/>
  <c r="C96" i="8"/>
  <c r="B96" i="8"/>
  <c r="A96" i="8"/>
  <c r="F95" i="8"/>
  <c r="E95" i="8"/>
  <c r="D95" i="8"/>
  <c r="C95" i="8"/>
  <c r="B95" i="8"/>
  <c r="F86" i="8"/>
  <c r="E86" i="8"/>
  <c r="D86" i="8"/>
  <c r="C86" i="8"/>
  <c r="B86" i="8"/>
  <c r="A86" i="8"/>
  <c r="F85" i="8"/>
  <c r="E85" i="8"/>
  <c r="D85" i="8"/>
  <c r="C85" i="8"/>
  <c r="B85" i="8"/>
  <c r="F76" i="8"/>
  <c r="E76" i="8"/>
  <c r="D76" i="8"/>
  <c r="C76" i="8"/>
  <c r="B76" i="8"/>
  <c r="A76" i="8"/>
  <c r="F75" i="8"/>
  <c r="E75" i="8"/>
  <c r="D75" i="8"/>
  <c r="C75" i="8"/>
  <c r="B75" i="8"/>
  <c r="F66" i="8"/>
  <c r="E66" i="8"/>
  <c r="D66" i="8"/>
  <c r="C66" i="8"/>
  <c r="B66" i="8"/>
  <c r="A66" i="8"/>
  <c r="F65" i="8"/>
  <c r="E65" i="8"/>
  <c r="D65" i="8"/>
  <c r="C65" i="8"/>
  <c r="B65" i="8"/>
  <c r="F56" i="8"/>
  <c r="E56" i="8"/>
  <c r="D56" i="8"/>
  <c r="C56" i="8"/>
  <c r="B56" i="8"/>
  <c r="A56" i="8"/>
  <c r="F55" i="8"/>
  <c r="E55" i="8"/>
  <c r="D55" i="8"/>
  <c r="C55" i="8"/>
  <c r="B55" i="8"/>
  <c r="F66" i="6"/>
  <c r="E66" i="6"/>
  <c r="D66" i="6"/>
  <c r="C66" i="6"/>
  <c r="B66" i="6"/>
  <c r="A66" i="6"/>
  <c r="F65" i="6"/>
  <c r="E65" i="6"/>
  <c r="D65" i="6"/>
  <c r="C65" i="6"/>
  <c r="B65" i="6"/>
  <c r="F56" i="6"/>
  <c r="E56" i="6"/>
  <c r="D56" i="6"/>
  <c r="C56" i="6"/>
  <c r="B56" i="6"/>
  <c r="A56" i="6"/>
  <c r="F55" i="6"/>
  <c r="E55" i="6"/>
  <c r="D55" i="6"/>
  <c r="C55" i="6"/>
  <c r="B55" i="6"/>
  <c r="F66" i="4"/>
  <c r="E66" i="4"/>
  <c r="D66" i="4"/>
  <c r="C66" i="4"/>
  <c r="B66" i="4"/>
  <c r="A66" i="4"/>
  <c r="F65" i="4"/>
  <c r="E65" i="4"/>
  <c r="D65" i="4"/>
  <c r="C65" i="4"/>
  <c r="B65" i="4"/>
  <c r="C55" i="4"/>
  <c r="D55" i="4"/>
  <c r="E55" i="4"/>
  <c r="F55" i="4"/>
  <c r="A56" i="4"/>
  <c r="F56" i="4"/>
  <c r="E56" i="4"/>
  <c r="D56" i="4"/>
  <c r="C56" i="4"/>
  <c r="B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E155" i="12"/>
  <c r="D155" i="12"/>
  <c r="C155" i="12"/>
  <c r="B155" i="12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E155" i="10"/>
  <c r="D155" i="10"/>
  <c r="C155" i="10"/>
  <c r="B155" i="10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E155" i="8"/>
  <c r="D155" i="8"/>
  <c r="C155" i="8"/>
  <c r="B155" i="8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D155" i="6"/>
  <c r="C155" i="6"/>
  <c r="B155" i="6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E155" i="4"/>
  <c r="D155" i="4"/>
  <c r="C155" i="4"/>
  <c r="B155" i="4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G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2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P62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<sst xmlns="http://schemas.openxmlformats.org/spreadsheetml/2006/main" count="793" uniqueCount="139">
  <si>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</si>
  <si>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</si>
  <si>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</si>
  <si>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</si>
  <si>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</si>
  <si>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</si>
  <si>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</si>
  <si>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</si>
  <si>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</si>
  <si>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</si>
  <si>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</si>
  <si>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</si>
  <si>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</si>
  <si>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</si>
  <si>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</si>
  <si>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</si>
  <si>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</si>
  <si>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</si>
  <si>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</si>
  <si>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</si>
  <si>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</si>
  <si>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</si>
  <si>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</si>
  <si>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</si>
  <si>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</si>
  <si>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</si>
  <si>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</si>
  <si>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</si>
  <si>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</si>
  <si>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</si>
  <si>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</si>
  <si>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</si>
  <si>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</si>
  <si>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</si>
  <si>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</si>
  <si>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</si>
  <si>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</si>
  <si>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</si>
  <si>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</si>
  <si>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</si>
  <si>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</si>
  <si>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</si>
  <si>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</si>
  <si>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</si>
  <si>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</si>
  <si>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</si>
  <si>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</si>
  <si>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</si>
  <si>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</si>
  <si>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</si>
  <si>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</si>
  <si>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</si>
  <si>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</si>
  <si>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</si>
  <si>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</si>
  <si>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</si>
  <si>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</si>
  <si>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</si>
  <si>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</si>
  <si>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</si>
  <si>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</si>
  <si>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</si>
  <si>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</si>
  <si>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</si>
  <si>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</si>
  <si>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</si>
  <si>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</si>
  <si>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</si>
  <si>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</si>
  <si>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</si>
  <si>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</si>
  <si>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</si>
  <si>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</si>
  <si>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</si>
  <si>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</si>
  <si>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</si>
  <si>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</si>
  <si>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</si>
  <si>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</si>
  <si>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</si>
  <si>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</si>
  <si>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</si>
  <si>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</si>
  <si>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</si>
  <si>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</si>
  <si>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</si>
  <si>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</si>
  <si>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</si>
  <si>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</si>
  <si>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</si>
  <si>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</si>
  <si>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</si>
  <si>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</si>
  <si>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</si>
  <si>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CAP (Common AI Platform)</t>
  </si>
  <si>
    <t>PromptPlus</t>
  </si>
  <si>
    <t>WeShape platform</t>
  </si>
  <si>
    <t>Presale</t>
  </si>
  <si>
    <t>Project</t>
  </si>
  <si>
    <t>TM</t>
  </si>
  <si>
    <t>Infra</t>
  </si>
  <si>
    <t>Spatial Lab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</si>
  <si>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</si>
  <si>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</si>
  <si>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</si>
  <si>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</si>
  <si>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</si>
  <si>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</si>
  <si>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</si>
  <si>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</si>
  <si>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</si>
  <si>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</si>
  <si>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</si>
  <si>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</si>
  <si>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</si>
  <si>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</si>
  <si>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</si>
  <si>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</si>
  <si>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</si>
  <si>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</si>
  <si>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</si>
  <si>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</si>
  <si>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</si>
  <si>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GINII</t>
  </si>
  <si>
    <t>Industrial Solutions</t>
  </si>
  <si>
    <t>RGUARD</t>
  </si>
  <si>
    <t>SARA</t>
  </si>
  <si>
    <t>WeShape</t>
  </si>
  <si>
    <t>FTE</t>
  </si>
  <si>
    <t>Total FTE</t>
  </si>
  <si>
    <t>Actual</t>
  </si>
  <si>
    <t>Mgmt</t>
  </si>
  <si>
    <t>Logged</t>
  </si>
  <si>
    <t>Q1 Plan</t>
  </si>
  <si>
    <t>Plan-PS</t>
  </si>
  <si>
    <t>Plan-PD</t>
  </si>
  <si>
    <t>Actual-PS</t>
  </si>
  <si>
    <t>Actual-PD</t>
  </si>
  <si>
    <t>Project Plan and Actual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</si>
</sst>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3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0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3" fontId="22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1" fillId="21" borderId="0" xfId="0" applyFont="1" applyFill="1"/>
    <xf numFmtId="0" fontId="22" fillId="26" borderId="0" xfId="0" applyFont="1" applyFill="1"/>
    <xf numFmtId="0" fontId="22" fillId="2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selection activeCell="B24" sqref="B24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22" spans="1:17" x14ac:dyDescent="0.2">
      <c r="A22" s="68" t="s">
        <v>22</v>
      </c>
      <c r="B22" s="69" t="s">
        <v>131</v>
      </c>
      <c r="C22" s="70">
        <v>11</v>
      </c>
      <c r="D22" s="70">
        <v>11</v>
      </c>
      <c r="E22" s="70">
        <v>11</v>
      </c>
      <c r="F22" s="70">
        <v>11</v>
      </c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</row>
    <row r="23" spans="1:17" x14ac:dyDescent="0.2">
      <c r="A23" s="68" t="s">
        <v>22</v>
      </c>
      <c r="B23" s="69" t="s">
        <v>132</v>
      </c>
      <c r="C23" s="71">
        <v>117.04</v>
      </c>
      <c r="D23" s="71">
        <v>125.05</v>
      </c>
      <c r="E23" s="70">
        <v>126.04</v>
      </c>
      <c r="F23" s="70">
        <v>126.8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104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0.29909999999999998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0.70089999999999997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81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17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7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opLeftCell="A140" workbookViewId="0">
      <selection activeCell="F166" sqref="F166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104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81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17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7</v>
      </c>
    </row>
    <row r="151" spans="1:16" x14ac:dyDescent="0.2">
      <c r="B151" t="str">
        <f>ALL!C1</f>
        <v>JAN</v>
      </c>
      <c r="C151" t="str">
        <f>ALL!D1</f>
        <v>FEB</v>
      </c>
      <c r="D151" t="str">
        <f>ALL!E1</f>
        <v>MAR</v>
      </c>
      <c r="E151" t="str">
        <f>ALL!F1</f>
        <v>APR</v>
      </c>
      <c r="F151" t="str">
        <f>ALL!G1</f>
        <v>MAY</v>
      </c>
      <c r="G151" t="str">
        <f>ALL!H1</f>
        <v>JUN</v>
      </c>
      <c r="H151" t="str">
        <f>ALL!I1</f>
        <v>JUL</v>
      </c>
      <c r="I151" t="str">
        <f>ALL!J1</f>
        <v>AUG</v>
      </c>
      <c r="J151" t="str">
        <f>ALL!K1</f>
        <v>SEP</v>
      </c>
      <c r="K151" t="str">
        <f>ALL!L1</f>
        <v>OCT</v>
      </c>
      <c r="L151" t="str">
        <f>ALL!M1</f>
        <v>NOV</v>
      </c>
      <c r="M151" t="str">
        <f>ALL!N1</f>
        <v>DEC</v>
      </c>
      <c r="N151" t="str">
        <f>ALL!O1</f>
        <v>JAN'27</v>
      </c>
      <c r="O151" t="str">
        <f>ALL!P1</f>
        <v>FEB'27</v>
      </c>
      <c r="P151" t="str">
        <f>ALL!Q1</f>
        <v>MAR'27</v>
      </c>
    </row>
    <row r="152" spans="1:16" x14ac:dyDescent="0.2">
      <c r="A152" t="str">
        <f>ALL!B6</f>
        <v>% Plan</v>
      </c>
      <c r="B152">
        <f>ALL!C6*100</f>
        <v>88.26</v>
      </c>
      <c r="C152">
        <f>ALL!D6*100</f>
        <v>93.62</v>
      </c>
      <c r="D152">
        <f>ALL!E6*100</f>
        <v>95.59</v>
      </c>
      <c r="E152">
        <f>ALL!F6*100</f>
        <v>94.789999999999992</v>
      </c>
      <c r="F152">
        <f>ALL!G6*100</f>
        <v>97.92</v>
      </c>
      <c r="G152">
        <f>ALL!H6*100</f>
        <v>95.83</v>
      </c>
      <c r="H152">
        <f>ALL!I6*100</f>
        <v>95.91</v>
      </c>
      <c r="I152">
        <f>ALL!J6*100</f>
        <v>93.76</v>
      </c>
      <c r="J152">
        <f>ALL!K6*100</f>
        <v>93.179999999999993</v>
      </c>
      <c r="K152">
        <f>ALL!L6*100</f>
        <v>88.37</v>
      </c>
      <c r="L152">
        <f>ALL!M6*100</f>
        <v>87.41</v>
      </c>
      <c r="M152">
        <f>ALL!N6*100</f>
        <v>86.94</v>
      </c>
      <c r="N152">
        <f>ALL!O6*100</f>
        <v>70.23</v>
      </c>
      <c r="O152">
        <f>ALL!P6*100</f>
        <v>70.02000000000001</v>
      </c>
      <c r="P152">
        <f>ALL!Q6*100</f>
        <v>70.02000000000001</v>
      </c>
    </row>
    <row r="153" spans="1:16" x14ac:dyDescent="0.2">
      <c r="A153" t="str">
        <f>ALL!B7</f>
        <v>Available FTE</v>
      </c>
      <c r="B153">
        <f>ALL!C7</f>
        <v>17</v>
      </c>
      <c r="C153">
        <f>ALL!D7</f>
        <v>10</v>
      </c>
      <c r="D153">
        <f>ALL!E7</f>
        <v>7</v>
      </c>
      <c r="E153">
        <f>ALL!F7</f>
        <v>8</v>
      </c>
      <c r="F153">
        <f>ALL!G7</f>
        <v>3</v>
      </c>
      <c r="G153">
        <f>ALL!H7</f>
        <v>6</v>
      </c>
      <c r="H153">
        <f>ALL!I7</f>
        <v>6</v>
      </c>
      <c r="I153">
        <f>ALL!J7</f>
        <v>9</v>
      </c>
      <c r="J153">
        <f>ALL!K7</f>
        <v>10</v>
      </c>
      <c r="K153">
        <f>ALL!L7</f>
        <v>17</v>
      </c>
      <c r="L153">
        <f>ALL!M7</f>
        <v>19</v>
      </c>
      <c r="M153">
        <f>ALL!N7</f>
        <v>19</v>
      </c>
      <c r="N153">
        <f>ALL!O7</f>
        <v>44</v>
      </c>
      <c r="O153">
        <f>ALL!P7</f>
        <v>45</v>
      </c>
      <c r="P153">
        <f>ALL!Q7</f>
        <v>45</v>
      </c>
    </row>
    <row r="155" spans="1:16" x14ac:dyDescent="0.2">
      <c r="B155" t="str">
        <f>ALL!C31</f>
        <v>Q1</v>
      </c>
      <c r="C155" t="str">
        <f>ALL!D31</f>
        <v>Q2</v>
      </c>
      <c r="D155" t="str">
        <f>ALL!E31</f>
        <v>Q3</v>
      </c>
      <c r="E155" t="str">
        <f>ALL!F31</f>
        <v>Q4</v>
      </c>
      <c r="F155" t="str">
        <f>ALL!G31</f>
        <v>Q1'27</v>
      </c>
    </row>
    <row r="156" spans="1:16" x14ac:dyDescent="0.2">
      <c r="A156" t="str">
        <f>ALL!B6</f>
        <v>% Plan</v>
      </c>
      <c r="B156">
        <f>ALL!C36*100</f>
        <v>92.5</v>
      </c>
      <c r="C156">
        <f>ALL!D36*100</f>
        <v>96.179999999999993</v>
      </c>
      <c r="D156">
        <f>ALL!E36*100</f>
        <v>94.28</v>
      </c>
      <c r="E156">
        <f>ALL!F36*100</f>
        <v>87.570000000000007</v>
      </c>
      <c r="F156">
        <f>ALL!G36*100</f>
        <v>70.09</v>
      </c>
    </row>
    <row r="157" spans="1:16" x14ac:dyDescent="0.2">
      <c r="A157" t="str">
        <f>ALL!B7</f>
        <v>Available FTE</v>
      </c>
      <c r="B157">
        <f>ALL!C37</f>
        <v>11</v>
      </c>
      <c r="C157">
        <f>ALL!D37</f>
        <v>6</v>
      </c>
      <c r="D157">
        <f>ALL!E37</f>
        <v>9</v>
      </c>
      <c r="E157">
        <f>ALL!F37</f>
        <v>19</v>
      </c>
      <c r="F157">
        <f>ALL!G37</f>
        <v>28</v>
      </c>
    </row>
    <row r="161" spans="1:16" x14ac:dyDescent="0.2">
      <c r="B161" t="str">
        <f>ALL!C1</f>
        <v>JAN</v>
      </c>
      <c r="C161" t="str">
        <f>ALL!D1</f>
        <v>FEB</v>
      </c>
      <c r="D161" t="str">
        <f>ALL!E1</f>
        <v>MAR</v>
      </c>
      <c r="E161" t="str">
        <f>ALL!F1</f>
        <v>APR</v>
      </c>
      <c r="F161" t="str">
        <f>ALL!G1</f>
        <v>MAY</v>
      </c>
      <c r="G161" t="str">
        <f>ALL!H1</f>
        <v>JUN</v>
      </c>
      <c r="H161" t="str">
        <f>ALL!I1</f>
        <v>JUL</v>
      </c>
      <c r="I161" t="str">
        <f>ALL!J1</f>
        <v>AUG</v>
      </c>
      <c r="J161" t="str">
        <f>ALL!K1</f>
        <v>SEP</v>
      </c>
      <c r="K161" t="str">
        <f>ALL!L1</f>
        <v>OCT</v>
      </c>
      <c r="L161" t="str">
        <f>ALL!M1</f>
        <v>NOV</v>
      </c>
      <c r="M161" t="str">
        <f>ALL!N1</f>
        <v>DEC</v>
      </c>
      <c r="N161" t="str">
        <f>ALL!O1</f>
        <v>JAN'27</v>
      </c>
      <c r="O161" t="str">
        <f>ALL!P1</f>
        <v>FEB'27</v>
      </c>
      <c r="P161" t="str">
        <f>ALL!Q1</f>
        <v>MAR'27</v>
      </c>
    </row>
    <row r="162" spans="1:16" x14ac:dyDescent="0.2">
      <c r="A162" t="str">
        <f>A2</f>
        <v>Staff</v>
      </c>
      <c r="B162">
        <f t="shared" ref="B162:P162" si="0">B2</f>
        <v>148</v>
      </c>
      <c r="C162">
        <f t="shared" si="0"/>
        <v>149</v>
      </c>
      <c r="D162">
        <f t="shared" si="0"/>
        <v>149</v>
      </c>
      <c r="E162">
        <f t="shared" si="0"/>
        <v>151</v>
      </c>
      <c r="F162">
        <f t="shared" si="0"/>
        <v>150</v>
      </c>
      <c r="G162">
        <f t="shared" si="0"/>
        <v>150</v>
      </c>
      <c r="H162">
        <f t="shared" si="0"/>
        <v>149</v>
      </c>
      <c r="I162">
        <f t="shared" si="0"/>
        <v>149</v>
      </c>
      <c r="J162">
        <f t="shared" si="0"/>
        <v>149</v>
      </c>
      <c r="K162">
        <f t="shared" si="0"/>
        <v>149</v>
      </c>
      <c r="L162">
        <f t="shared" si="0"/>
        <v>149</v>
      </c>
      <c r="M162">
        <f t="shared" si="0"/>
        <v>149</v>
      </c>
      <c r="N162">
        <f t="shared" si="0"/>
        <v>149</v>
      </c>
      <c r="O162">
        <f t="shared" si="0"/>
        <v>149</v>
      </c>
      <c r="P162">
        <f t="shared" si="0"/>
        <v>149</v>
      </c>
    </row>
    <row r="163" spans="1:16" x14ac:dyDescent="0.2">
      <c r="A163" t="str">
        <f>A4</f>
        <v>Plan</v>
      </c>
      <c r="E163">
        <f t="shared" ref="E163:P163" si="1">E4</f>
        <v>143</v>
      </c>
      <c r="F163">
        <f t="shared" si="1"/>
        <v>147</v>
      </c>
      <c r="G163">
        <f t="shared" si="1"/>
        <v>144</v>
      </c>
      <c r="H163">
        <f t="shared" si="1"/>
        <v>143</v>
      </c>
      <c r="I163">
        <f t="shared" si="1"/>
        <v>140</v>
      </c>
      <c r="J163">
        <f t="shared" si="1"/>
        <v>139</v>
      </c>
      <c r="K163">
        <f t="shared" si="1"/>
        <v>132</v>
      </c>
      <c r="L163">
        <f t="shared" si="1"/>
        <v>130</v>
      </c>
      <c r="M163">
        <f t="shared" si="1"/>
        <v>130</v>
      </c>
      <c r="N163">
        <f t="shared" si="1"/>
        <v>105</v>
      </c>
      <c r="O163">
        <f t="shared" si="1"/>
        <v>104</v>
      </c>
      <c r="P163">
        <f t="shared" si="1"/>
        <v>104</v>
      </c>
    </row>
    <row r="164" spans="1:16" x14ac:dyDescent="0.2">
      <c r="A164" t="s">
        <v>130</v>
      </c>
      <c r="B164">
        <f>SUM(ALL!C22:C23)</f>
        <v>128.04000000000002</v>
      </c>
      <c r="C164">
        <f>SUM(ALL!D22:D23)</f>
        <v>136.05000000000001</v>
      </c>
      <c r="D164">
        <f>SUM(ALL!E22:E23)</f>
        <v>137.04000000000002</v>
      </c>
      <c r="E164">
        <f>SUM(ALL!F22:F23)</f>
        <v>137.80000000000001</v>
      </c>
    </row>
    <row r="165" spans="1:16" x14ac:dyDescent="0.2">
      <c r="A165" t="s">
        <v>133</v>
      </c>
      <c r="B165">
        <v>127</v>
      </c>
      <c r="C165">
        <v>136</v>
      </c>
      <c r="D165">
        <v>136</v>
      </c>
      <c r="E165">
        <v>132</v>
      </c>
      <c r="F165">
        <v>132</v>
      </c>
      <c r="G165">
        <v>130</v>
      </c>
      <c r="H165">
        <v>118</v>
      </c>
      <c r="I165">
        <v>114</v>
      </c>
      <c r="J165">
        <v>111</v>
      </c>
      <c r="K165">
        <v>109</v>
      </c>
      <c r="L165">
        <v>105</v>
      </c>
      <c r="M165">
        <v>104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10" activePane="bottomLeft" state="frozen"/>
      <selection pane="bottomLeft" activeCell="C12" sqref="B12:C1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14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0.16470000000000001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0.83530000000000004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0" workbookViewId="0">
      <selection activeCell="A64" sqref="A64:XFD64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14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14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8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54" spans="1:16" s="66" customFormat="1" x14ac:dyDescent="0.2">
      <c r="A54" s="66" t="s">
        <v>24</v>
      </c>
      <c r="B54" s="67">
        <f>B52-B53</f>
        <v>0.75</v>
      </c>
      <c r="C54" s="67">
        <f t="shared" ref="C54:P54" si="0">C52-C53</f>
        <v>0.65000000000000036</v>
      </c>
      <c r="D54" s="67">
        <f t="shared" si="0"/>
        <v>0.94999999999999929</v>
      </c>
      <c r="E54" s="67">
        <f t="shared" si="0"/>
        <v>-0.40000000000000036</v>
      </c>
      <c r="F54" s="67">
        <f t="shared" si="0"/>
        <v>-0.5</v>
      </c>
      <c r="G54" s="67">
        <f t="shared" si="0"/>
        <v>-0.40000000000000036</v>
      </c>
      <c r="H54" s="67">
        <f t="shared" si="0"/>
        <v>0.80000000000000071</v>
      </c>
      <c r="I54" s="67">
        <f t="shared" si="0"/>
        <v>1</v>
      </c>
      <c r="J54" s="67">
        <f t="shared" si="0"/>
        <v>1</v>
      </c>
      <c r="K54" s="67">
        <f t="shared" si="0"/>
        <v>1.0999999999999996</v>
      </c>
      <c r="L54" s="67">
        <f t="shared" si="0"/>
        <v>1.3000000000000007</v>
      </c>
      <c r="M54" s="67">
        <f t="shared" si="0"/>
        <v>1.3000000000000007</v>
      </c>
      <c r="N54" s="67">
        <f t="shared" si="0"/>
        <v>2.8000000000000007</v>
      </c>
      <c r="O54" s="67">
        <f t="shared" si="0"/>
        <v>2.8000000000000007</v>
      </c>
      <c r="P54" s="67">
        <f t="shared" si="0"/>
        <v>2.8000000000000007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93.472222222222229</v>
      </c>
      <c r="C56" s="59">
        <f>(AVERAGE(E53:G53)/AVERAGE(E52:G52))*100</f>
        <v>103.93939393939394</v>
      </c>
      <c r="D56" s="59">
        <f>(AVERAGE(H53:J53)/AVERAGE(H52:J52))*100</f>
        <v>91.515151515151516</v>
      </c>
      <c r="E56" s="59">
        <f>(AVERAGE(K53:M53)/AVERAGE(K52:M52))*100</f>
        <v>88.787878787878796</v>
      </c>
      <c r="F56" s="59">
        <f>(AVERAGE(N53:P53)/AVERAGE(N52:P52))*100</f>
        <v>74.545454545454533</v>
      </c>
    </row>
    <row r="61" spans="1:16" x14ac:dyDescent="0.2">
      <c r="A61" s="58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6" customFormat="1" x14ac:dyDescent="0.2">
      <c r="A64" s="66" t="s">
        <v>24</v>
      </c>
      <c r="B64" s="67">
        <f>B62-B63</f>
        <v>0.40000000000000036</v>
      </c>
      <c r="C64" s="67">
        <f t="shared" ref="C64:P64" si="2">C62-C63</f>
        <v>0.40000000000000036</v>
      </c>
      <c r="D64" s="67">
        <f t="shared" si="2"/>
        <v>0.40000000000000036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92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151" spans="1:16" x14ac:dyDescent="0.2">
      <c r="B151" t="str">
        <f>CPS!C1</f>
        <v>JAN</v>
      </c>
      <c r="C151" t="str">
        <f>CPS!D1</f>
        <v>FEB</v>
      </c>
      <c r="D151" t="str">
        <f>CPS!E1</f>
        <v>MAR</v>
      </c>
      <c r="E151" t="str">
        <f>CPS!F1</f>
        <v>APR</v>
      </c>
      <c r="F151" t="str">
        <f>CPS!G1</f>
        <v>MAY</v>
      </c>
      <c r="G151" t="str">
        <f>CPS!H1</f>
        <v>JUN</v>
      </c>
      <c r="H151" t="str">
        <f>CPS!I1</f>
        <v>JUL</v>
      </c>
      <c r="I151" t="str">
        <f>CPS!J1</f>
        <v>AUG</v>
      </c>
      <c r="J151" t="str">
        <f>CPS!K1</f>
        <v>SEP</v>
      </c>
      <c r="K151" t="str">
        <f>CPS!L1</f>
        <v>OCT</v>
      </c>
      <c r="L151" t="str">
        <f>CPS!M1</f>
        <v>NOV</v>
      </c>
      <c r="M151" t="str">
        <f>CPS!N1</f>
        <v>DEC</v>
      </c>
      <c r="N151" t="str">
        <f>CPS!O1</f>
        <v>JAN'27</v>
      </c>
      <c r="O151" t="str">
        <f>CPS!P1</f>
        <v>FEB'27</v>
      </c>
      <c r="P151" t="str">
        <f>CPS!Q1</f>
        <v>MAR'27</v>
      </c>
    </row>
    <row r="152" spans="1:16" x14ac:dyDescent="0.2">
      <c r="A152" t="str">
        <f>CPS!B6</f>
        <v>% Plan</v>
      </c>
      <c r="B152">
        <f>CPS!C6*100</f>
        <v>93.61</v>
      </c>
      <c r="C152">
        <f>CPS!D6*100</f>
        <v>94.17</v>
      </c>
      <c r="D152">
        <f>CPS!E6*100</f>
        <v>92.5</v>
      </c>
      <c r="E152">
        <f>CPS!F6*100</f>
        <v>102.35000000000001</v>
      </c>
      <c r="F152">
        <f>CPS!G6*100</f>
        <v>102.94000000000001</v>
      </c>
      <c r="G152">
        <f>CPS!H6*100</f>
        <v>102.35000000000001</v>
      </c>
      <c r="H152">
        <f>CPS!I6*100</f>
        <v>95.289999999999992</v>
      </c>
      <c r="I152">
        <f>CPS!J6*100</f>
        <v>94.12</v>
      </c>
      <c r="J152">
        <f>CPS!K6*100</f>
        <v>94.12</v>
      </c>
      <c r="K152">
        <f>CPS!L6*100</f>
        <v>93.53</v>
      </c>
      <c r="L152">
        <f>CPS!M6*100</f>
        <v>92.35</v>
      </c>
      <c r="M152">
        <f>CPS!N6*100</f>
        <v>92.35</v>
      </c>
      <c r="N152">
        <f>CPS!O6*100</f>
        <v>83.53</v>
      </c>
      <c r="O152">
        <f>CPS!P6*100</f>
        <v>83.53</v>
      </c>
      <c r="P152">
        <f>CPS!Q6*100</f>
        <v>83.53</v>
      </c>
    </row>
    <row r="153" spans="1:16" x14ac:dyDescent="0.2">
      <c r="A153" t="str">
        <f>CPS!B7</f>
        <v>Available FTE</v>
      </c>
      <c r="B153">
        <f>CPS!C7</f>
        <v>1</v>
      </c>
      <c r="C153">
        <f>CPS!D7</f>
        <v>1</v>
      </c>
      <c r="D153">
        <f>CPS!E7</f>
        <v>1</v>
      </c>
      <c r="E153">
        <f>CPS!F7</f>
        <v>0</v>
      </c>
      <c r="F153">
        <f>CPS!G7</f>
        <v>0</v>
      </c>
      <c r="G153">
        <f>CPS!H7</f>
        <v>0</v>
      </c>
      <c r="H153">
        <f>CPS!I7</f>
        <v>1</v>
      </c>
      <c r="I153">
        <f>CPS!J7</f>
        <v>1</v>
      </c>
      <c r="J153">
        <f>CPS!K7</f>
        <v>1</v>
      </c>
      <c r="K153">
        <f>CPS!L7</f>
        <v>1</v>
      </c>
      <c r="L153">
        <f>CPS!M7</f>
        <v>1</v>
      </c>
      <c r="M153">
        <f>CPS!N7</f>
        <v>1</v>
      </c>
      <c r="N153">
        <f>CPS!O7</f>
        <v>3</v>
      </c>
      <c r="O153">
        <f>CPS!P7</f>
        <v>3</v>
      </c>
      <c r="P153">
        <f>CPS!Q7</f>
        <v>3</v>
      </c>
    </row>
    <row r="155" spans="1:16" x14ac:dyDescent="0.2">
      <c r="B155" t="str">
        <f>CPS!C31</f>
        <v>Q1</v>
      </c>
      <c r="C155" t="str">
        <f>CPS!D31</f>
        <v>Q2</v>
      </c>
      <c r="D155" t="str">
        <f>CPS!E31</f>
        <v>Q3</v>
      </c>
      <c r="E155" t="str">
        <f>CPS!F31</f>
        <v>Q4</v>
      </c>
      <c r="F155" t="str">
        <f>CPS!G31</f>
        <v>Q1'27</v>
      </c>
    </row>
    <row r="156" spans="1:16" x14ac:dyDescent="0.2">
      <c r="A156" t="str">
        <f>CPS!B6</f>
        <v>% Plan</v>
      </c>
      <c r="B156">
        <f>CPS!C36*100</f>
        <v>93.43</v>
      </c>
      <c r="C156">
        <f>CPS!D36*100</f>
        <v>102.55000000000001</v>
      </c>
      <c r="D156">
        <f>CPS!E36*100</f>
        <v>94.51</v>
      </c>
      <c r="E156">
        <f>CPS!F36*100</f>
        <v>92.75</v>
      </c>
      <c r="F156">
        <f>CPS!G36*100</f>
        <v>83.53</v>
      </c>
    </row>
    <row r="157" spans="1:16" x14ac:dyDescent="0.2">
      <c r="A157" t="str">
        <f>CPS!B7</f>
        <v>Available FTE</v>
      </c>
      <c r="B157">
        <f>CPS!C37</f>
        <v>1</v>
      </c>
      <c r="C157">
        <f>CPS!D37</f>
        <v>0</v>
      </c>
      <c r="D157">
        <f>CPS!E37</f>
        <v>1</v>
      </c>
      <c r="E157">
        <f>CPS!F37</f>
        <v>1</v>
      </c>
      <c r="F157">
        <f>CPS!G37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12" workbookViewId="0">
      <selection activeCell="J48" sqref="J4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47</v>
      </c>
      <c r="G3" s="8">
        <v>47</v>
      </c>
      <c r="H3" s="8">
        <v>47</v>
      </c>
      <c r="I3" s="8">
        <v>47</v>
      </c>
      <c r="J3" s="8">
        <v>47</v>
      </c>
      <c r="K3" s="8">
        <v>47</v>
      </c>
      <c r="L3" s="8">
        <v>47</v>
      </c>
      <c r="M3" s="8">
        <v>47</v>
      </c>
      <c r="N3" s="8">
        <v>47</v>
      </c>
      <c r="O3" s="8">
        <v>47</v>
      </c>
      <c r="P3" s="8">
        <v>47</v>
      </c>
      <c r="Q3" s="8">
        <v>47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47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32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0.34060000000000001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0.65939999999999999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19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13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41" workbookViewId="0">
      <selection activeCell="A64" sqref="A64:XFD6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47</v>
      </c>
      <c r="F3">
        <f>IF(PSE!G3&gt;0,PSE!G3,"")</f>
        <v>47</v>
      </c>
      <c r="G3">
        <f>IF(PSE!H3&gt;0,PSE!H3,"")</f>
        <v>47</v>
      </c>
      <c r="H3">
        <f>IF(PSE!I3&gt;0,PSE!I3,"")</f>
        <v>47</v>
      </c>
      <c r="I3">
        <f>IF(PSE!J3&gt;0,PSE!J3,"")</f>
        <v>47</v>
      </c>
      <c r="J3">
        <f>IF(PSE!K3&gt;0,PSE!K3,"")</f>
        <v>47</v>
      </c>
      <c r="K3">
        <f>IF(PSE!L3&gt;0,PSE!L3,"")</f>
        <v>47</v>
      </c>
      <c r="L3">
        <f>IF(PSE!M3&gt;0,PSE!M3,"")</f>
        <v>47</v>
      </c>
      <c r="M3">
        <f>IF(PSE!N3&gt;0,PSE!N3,"")</f>
        <v>47</v>
      </c>
      <c r="N3">
        <f>IF(PSE!O3&gt;0,PSE!O3,"")</f>
        <v>47</v>
      </c>
      <c r="O3">
        <f>IF(PSE!P3&gt;0,PSE!P3,"")</f>
        <v>47</v>
      </c>
      <c r="P3">
        <f>IF(PSE!Q3&gt;0,PSE!Q3,"")</f>
        <v>47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16</v>
      </c>
      <c r="C24">
        <f>PSE!D15</f>
        <v>16</v>
      </c>
      <c r="D24">
        <f>PSE!E15</f>
        <v>18</v>
      </c>
      <c r="E24">
        <f>PSE!F15</f>
        <v>17</v>
      </c>
      <c r="F24">
        <f>PSE!G15</f>
        <v>17</v>
      </c>
      <c r="G24">
        <f>PSE!H15</f>
        <v>16</v>
      </c>
      <c r="H24">
        <f>PSE!I15</f>
        <v>16</v>
      </c>
      <c r="I24">
        <f>PSE!J15</f>
        <v>16</v>
      </c>
      <c r="J24">
        <f>PSE!K15</f>
        <v>16</v>
      </c>
      <c r="K24">
        <f>PSE!L15</f>
        <v>15</v>
      </c>
      <c r="L24">
        <f>PSE!M15</f>
        <v>15</v>
      </c>
      <c r="M24">
        <f>PSE!N15</f>
        <v>15</v>
      </c>
      <c r="N24">
        <f>PSE!O15</f>
        <v>13</v>
      </c>
      <c r="O24">
        <f>PSE!P15</f>
        <v>13</v>
      </c>
      <c r="P24">
        <f>PSE!Q15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>
        <f>PSE!C17</f>
        <v>0</v>
      </c>
      <c r="C32">
        <f>PSE!D17</f>
        <v>0</v>
      </c>
      <c r="D32">
        <f>PSE!E17</f>
        <v>1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0</v>
      </c>
      <c r="C34">
        <f>PSE!D19</f>
        <v>0</v>
      </c>
      <c r="D34">
        <f>PSE!E19</f>
        <v>0</v>
      </c>
      <c r="E34">
        <f>PSE!F19</f>
        <v>1</v>
      </c>
      <c r="F34">
        <f>PSE!G19</f>
        <v>3</v>
      </c>
      <c r="G34">
        <f>PSE!H19</f>
        <v>3</v>
      </c>
      <c r="H34">
        <f>PSE!I19</f>
        <v>3</v>
      </c>
      <c r="I34">
        <f>PSE!J19</f>
        <v>3</v>
      </c>
      <c r="J34">
        <f>PSE!K19</f>
        <v>3</v>
      </c>
      <c r="K34">
        <f>PSE!L19</f>
        <v>2</v>
      </c>
      <c r="L34">
        <f>PSE!M19</f>
        <v>2</v>
      </c>
      <c r="M34">
        <f>PSE!N19</f>
        <v>2</v>
      </c>
      <c r="N34">
        <f>PSE!O19</f>
        <v>0</v>
      </c>
      <c r="O34">
        <f>PSE!P19</f>
        <v>0</v>
      </c>
      <c r="P34">
        <f>PSE!Q19</f>
        <v>0</v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47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32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19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13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 t="str">
        <f>IF(PSE!G49&gt;0,PSE!G49,"")</f>
        <v/>
      </c>
    </row>
    <row r="51" spans="1:16" x14ac:dyDescent="0.2">
      <c r="A51" s="58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  <row r="64" spans="1:16" s="66" customFormat="1" x14ac:dyDescent="0.2">
      <c r="A64" s="66" t="s">
        <v>24</v>
      </c>
      <c r="B64" s="67">
        <f>B62-B63</f>
        <v>4.6000000000000014</v>
      </c>
      <c r="C64" s="67">
        <f t="shared" ref="C64:P64" si="2">C62-C63</f>
        <v>2.6400000000000006</v>
      </c>
      <c r="D64" s="67">
        <f t="shared" si="2"/>
        <v>0.53000000000000114</v>
      </c>
      <c r="E64" s="67">
        <f t="shared" si="2"/>
        <v>2.5700000000000003</v>
      </c>
      <c r="F64" s="67">
        <f t="shared" si="2"/>
        <v>1.2199999999999989</v>
      </c>
      <c r="G64" s="67">
        <f t="shared" si="2"/>
        <v>4.0900000000000034</v>
      </c>
      <c r="H64" s="67">
        <f t="shared" si="2"/>
        <v>2.8900000000000006</v>
      </c>
      <c r="I64" s="67">
        <f t="shared" si="2"/>
        <v>3.4399999999999977</v>
      </c>
      <c r="J64" s="67">
        <f t="shared" si="2"/>
        <v>2.9399999999999977</v>
      </c>
      <c r="K64" s="67">
        <f t="shared" si="2"/>
        <v>6.3100000000000023</v>
      </c>
      <c r="L64" s="67">
        <f t="shared" si="2"/>
        <v>7</v>
      </c>
      <c r="M64" s="67">
        <f t="shared" si="2"/>
        <v>7</v>
      </c>
      <c r="N64" s="67">
        <f t="shared" si="2"/>
        <v>16.350000000000001</v>
      </c>
      <c r="O64" s="67">
        <f t="shared" si="2"/>
        <v>16.350000000000001</v>
      </c>
      <c r="P64" s="67">
        <f t="shared" si="2"/>
        <v>16.350000000000001</v>
      </c>
    </row>
    <row r="65" spans="1: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6" s="59" customFormat="1" x14ac:dyDescent="0.2">
      <c r="A66" s="59" t="str">
        <f>$A$156</f>
        <v>% Plan</v>
      </c>
      <c r="B66" s="59">
        <f>(AVERAGE(B63:D63)/AVERAGE(B62:D62))*100</f>
        <v>93.358974358974351</v>
      </c>
      <c r="C66" s="59">
        <f>(AVERAGE(E63:G63)/AVERAGE(E62:G62))*100</f>
        <v>93.593495934959364</v>
      </c>
      <c r="D66" s="59">
        <f>(AVERAGE(H63:J63)/AVERAGE(H62:J62))*100</f>
        <v>92.463414634146346</v>
      </c>
      <c r="E66" s="59">
        <f>(AVERAGE(K63:M63)/AVERAGE(K62:M62))*100</f>
        <v>83.487804878048777</v>
      </c>
      <c r="F66" s="59">
        <f>(AVERAGE(N63:P63)/AVERAGE(N62:P62))*100</f>
        <v>60.121951219512184</v>
      </c>
    </row>
    <row r="151" spans="1:16" x14ac:dyDescent="0.2">
      <c r="B151" t="str">
        <f>PSE!C1</f>
        <v>JAN</v>
      </c>
      <c r="C151" t="str">
        <f>PSE!D1</f>
        <v>FEB</v>
      </c>
      <c r="D151" t="str">
        <f>PSE!E1</f>
        <v>MAR</v>
      </c>
      <c r="E151" t="str">
        <f>PSE!F1</f>
        <v>APR</v>
      </c>
      <c r="F151" t="str">
        <f>PSE!G1</f>
        <v>MAY</v>
      </c>
      <c r="G151" t="str">
        <f>PSE!H1</f>
        <v>JUN</v>
      </c>
      <c r="H151" t="str">
        <f>PSE!I1</f>
        <v>JUL</v>
      </c>
      <c r="I151" t="str">
        <f>PSE!J1</f>
        <v>AUG</v>
      </c>
      <c r="J151" t="str">
        <f>PSE!K1</f>
        <v>SEP</v>
      </c>
      <c r="K151" t="str">
        <f>PSE!L1</f>
        <v>OCT</v>
      </c>
      <c r="L151" t="str">
        <f>PSE!M1</f>
        <v>NOV</v>
      </c>
      <c r="M151" t="str">
        <f>PSE!N1</f>
        <v>DEC</v>
      </c>
      <c r="N151" t="str">
        <f>PSE!O1</f>
        <v>JAN'27</v>
      </c>
      <c r="O151" t="str">
        <f>PSE!P1</f>
        <v>FEB'27</v>
      </c>
      <c r="P151" t="str">
        <f>PSE!Q1</f>
        <v>MAR'27</v>
      </c>
    </row>
    <row r="152" spans="1:16" x14ac:dyDescent="0.2">
      <c r="A152" t="str">
        <f>PSE!B6</f>
        <v>% Plan</v>
      </c>
      <c r="B152">
        <f>PSE!C6*100</f>
        <v>89.78</v>
      </c>
      <c r="C152">
        <f>PSE!D6*100</f>
        <v>94.13</v>
      </c>
      <c r="D152">
        <f>PSE!E6*100</f>
        <v>98.82</v>
      </c>
      <c r="E152">
        <f>PSE!F6*100</f>
        <v>94.65</v>
      </c>
      <c r="F152">
        <f>PSE!G6*100</f>
        <v>97.460000000000008</v>
      </c>
      <c r="G152">
        <f>PSE!H6*100</f>
        <v>91.47999999999999</v>
      </c>
      <c r="H152">
        <f>PSE!I6*100</f>
        <v>93.97999999999999</v>
      </c>
      <c r="I152">
        <f>PSE!J6*100</f>
        <v>92.83</v>
      </c>
      <c r="J152">
        <f>PSE!K6*100</f>
        <v>93.88</v>
      </c>
      <c r="K152">
        <f>PSE!L6*100</f>
        <v>86.850000000000009</v>
      </c>
      <c r="L152">
        <f>PSE!M6*100</f>
        <v>85.42</v>
      </c>
      <c r="M152">
        <f>PSE!N6*100</f>
        <v>85.42</v>
      </c>
      <c r="N152">
        <f>PSE!O6*100</f>
        <v>65.94</v>
      </c>
      <c r="O152">
        <f>PSE!P6*100</f>
        <v>65.94</v>
      </c>
      <c r="P152">
        <f>PSE!Q6*100</f>
        <v>65.94</v>
      </c>
    </row>
    <row r="153" spans="1:16" x14ac:dyDescent="0.2">
      <c r="A153" t="str">
        <f>PSE!B7</f>
        <v>Available FTE</v>
      </c>
      <c r="B153">
        <f>PSE!C7</f>
        <v>5</v>
      </c>
      <c r="C153">
        <f>PSE!D7</f>
        <v>3</v>
      </c>
      <c r="D153">
        <f>PSE!E7</f>
        <v>1</v>
      </c>
      <c r="E153">
        <f>PSE!F7</f>
        <v>3</v>
      </c>
      <c r="F153">
        <f>PSE!G7</f>
        <v>1</v>
      </c>
      <c r="G153">
        <f>PSE!H7</f>
        <v>4</v>
      </c>
      <c r="H153">
        <f>PSE!I7</f>
        <v>3</v>
      </c>
      <c r="I153">
        <f>PSE!J7</f>
        <v>3</v>
      </c>
      <c r="J153">
        <f>PSE!K7</f>
        <v>3</v>
      </c>
      <c r="K153">
        <f>PSE!L7</f>
        <v>6</v>
      </c>
      <c r="L153">
        <f>PSE!M7</f>
        <v>7</v>
      </c>
      <c r="M153">
        <f>PSE!N7</f>
        <v>7</v>
      </c>
      <c r="N153">
        <f>PSE!O7</f>
        <v>16</v>
      </c>
      <c r="O153">
        <f>PSE!P7</f>
        <v>16</v>
      </c>
      <c r="P153">
        <f>PSE!Q7</f>
        <v>16</v>
      </c>
    </row>
    <row r="155" spans="1:16" x14ac:dyDescent="0.2">
      <c r="B155" t="str">
        <f>PSE!C31</f>
        <v>Q1</v>
      </c>
      <c r="C155" t="str">
        <f>PSE!D31</f>
        <v>Q2</v>
      </c>
      <c r="D155" t="str">
        <f>PSE!E31</f>
        <v>Q3</v>
      </c>
      <c r="E155" t="str">
        <f>PSE!F31</f>
        <v>Q4</v>
      </c>
      <c r="F155" t="str">
        <f>PSE!G31</f>
        <v>Q1'27</v>
      </c>
    </row>
    <row r="156" spans="1:16" x14ac:dyDescent="0.2">
      <c r="A156" t="str">
        <f>PSE!B6</f>
        <v>% Plan</v>
      </c>
      <c r="B156">
        <f>PSE!C36*100</f>
        <v>94.24</v>
      </c>
      <c r="C156">
        <f>PSE!D36*100</f>
        <v>94.53</v>
      </c>
      <c r="D156">
        <f>PSE!E36*100</f>
        <v>93.56</v>
      </c>
      <c r="E156">
        <f>PSE!F36*100</f>
        <v>85.9</v>
      </c>
      <c r="F156">
        <f>PSE!G36*100</f>
        <v>65.94</v>
      </c>
    </row>
    <row r="157" spans="1:16" x14ac:dyDescent="0.2">
      <c r="A157" t="str">
        <f>PSE!B7</f>
        <v>Available FTE</v>
      </c>
      <c r="B157">
        <f>PSE!C37</f>
        <v>3</v>
      </c>
      <c r="C157">
        <f>PSE!D37</f>
        <v>3</v>
      </c>
      <c r="D157">
        <f>PSE!E37</f>
        <v>3</v>
      </c>
      <c r="E157">
        <f>PSE!F37</f>
        <v>7</v>
      </c>
      <c r="F157">
        <f>PSE!G37</f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29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32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0.3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0.7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23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21">
        <v>7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1" activePane="bottomLeft" state="frozen"/>
      <selection pane="bottomLeft" activeCell="A54" sqref="A54:XFD54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32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23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7</v>
      </c>
    </row>
    <row r="51" spans="1:16" x14ac:dyDescent="0.2">
      <c r="A51" s="58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54" spans="1:16" s="66" customFormat="1" x14ac:dyDescent="0.2">
      <c r="A54" s="66" t="s">
        <v>24</v>
      </c>
      <c r="B54" s="67">
        <f>B52-B53</f>
        <v>0.9375</v>
      </c>
      <c r="C54" s="67">
        <f t="shared" ref="C54:P54" si="0">C52-C53</f>
        <v>0.14999999999999991</v>
      </c>
      <c r="D54" s="67">
        <f t="shared" si="0"/>
        <v>0.35000000000000009</v>
      </c>
      <c r="E54" s="67">
        <f t="shared" si="0"/>
        <v>0.70000000000000018</v>
      </c>
      <c r="F54" s="67">
        <f t="shared" si="0"/>
        <v>-2.5000000000000355E-2</v>
      </c>
      <c r="G54" s="67">
        <f t="shared" si="0"/>
        <v>-2.5000000000000355E-2</v>
      </c>
      <c r="H54" s="67">
        <f t="shared" si="0"/>
        <v>1.8749999999999822E-2</v>
      </c>
      <c r="I54" s="67">
        <f t="shared" si="0"/>
        <v>0.70624999999999982</v>
      </c>
      <c r="J54" s="67">
        <f t="shared" si="0"/>
        <v>1.0687500000000001</v>
      </c>
      <c r="K54" s="67">
        <f t="shared" si="0"/>
        <v>1.2875000000000001</v>
      </c>
      <c r="L54" s="67">
        <f t="shared" si="0"/>
        <v>1.4125000000000001</v>
      </c>
      <c r="M54" s="67">
        <f t="shared" si="0"/>
        <v>1.6124999999999998</v>
      </c>
      <c r="N54" s="67">
        <f t="shared" si="0"/>
        <v>2.71875</v>
      </c>
      <c r="O54" s="67">
        <f t="shared" si="0"/>
        <v>2.96875</v>
      </c>
      <c r="P54" s="67">
        <f t="shared" si="0"/>
        <v>2.96875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88.020833333333343</v>
      </c>
      <c r="C56" s="59">
        <f>(AVERAGE(E53:G53)/AVERAGE(E52:G52))*100</f>
        <v>94.583333333333343</v>
      </c>
      <c r="D56" s="59">
        <f>(AVERAGE(H53:J53)/AVERAGE(H52:J52))*100</f>
        <v>85.052083333333343</v>
      </c>
      <c r="E56" s="59">
        <f>(AVERAGE(K53:M53)/AVERAGE(K52:M52))*100</f>
        <v>64.0625</v>
      </c>
      <c r="F56" s="59">
        <f>(AVERAGE(N53:P53)/AVERAGE(N52:P52))*100</f>
        <v>27.864583333333332</v>
      </c>
    </row>
    <row r="61" spans="1:16" x14ac:dyDescent="0.2">
      <c r="A61" s="58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64" spans="1:16" s="66" customFormat="1" x14ac:dyDescent="0.2">
      <c r="A64" s="66" t="s">
        <v>24</v>
      </c>
      <c r="B64" s="67">
        <f>B62-B63</f>
        <v>-7.5000000000000178E-2</v>
      </c>
      <c r="C64" s="67">
        <f t="shared" ref="C64:P64" si="2">C62-C63</f>
        <v>-0.22499999999999964</v>
      </c>
      <c r="D64" s="67">
        <f t="shared" si="2"/>
        <v>0.13499999999999979</v>
      </c>
      <c r="E64" s="67">
        <f t="shared" si="2"/>
        <v>0.87999999999999989</v>
      </c>
      <c r="F64" s="67">
        <f t="shared" si="2"/>
        <v>1.2925000000000004</v>
      </c>
      <c r="G64" s="67">
        <f t="shared" si="2"/>
        <v>0.58750000000000036</v>
      </c>
      <c r="H64" s="67">
        <f t="shared" si="2"/>
        <v>1.1375000000000002</v>
      </c>
      <c r="I64" s="67">
        <f t="shared" si="2"/>
        <v>1.3674999999999997</v>
      </c>
      <c r="J64" s="67">
        <f t="shared" si="2"/>
        <v>1.3674999999999997</v>
      </c>
      <c r="K64" s="67">
        <f t="shared" si="2"/>
        <v>1.7050000000000001</v>
      </c>
      <c r="L64" s="67">
        <f t="shared" si="2"/>
        <v>1.8550000000000004</v>
      </c>
      <c r="M64" s="67">
        <f t="shared" si="2"/>
        <v>1.8550000000000004</v>
      </c>
      <c r="N64" s="67">
        <f t="shared" si="2"/>
        <v>2.6849999999999996</v>
      </c>
      <c r="O64" s="67">
        <f t="shared" si="2"/>
        <v>2.6849999999999996</v>
      </c>
      <c r="P64" s="67">
        <f t="shared" si="2"/>
        <v>2.6849999999999996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100.78571428571428</v>
      </c>
      <c r="C66" s="59">
        <f>(AVERAGE(E63:G63)/AVERAGE(E62:G62))*100</f>
        <v>86.857142857142861</v>
      </c>
      <c r="D66" s="59">
        <f>(AVERAGE(H63:J63)/AVERAGE(H62:J62))*100</f>
        <v>81.55952380952381</v>
      </c>
      <c r="E66" s="59">
        <f>(AVERAGE(K63:M63)/AVERAGE(K62:M62))*100</f>
        <v>74.214285714285708</v>
      </c>
      <c r="F66" s="59">
        <f>(AVERAGE(N63:P63)/AVERAGE(N62:P62))*100</f>
        <v>61.642857142857146</v>
      </c>
    </row>
    <row r="71" spans="1:16" x14ac:dyDescent="0.2">
      <c r="A71" s="58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74" spans="1:16" s="66" customFormat="1" x14ac:dyDescent="0.2">
      <c r="A74" s="66" t="s">
        <v>24</v>
      </c>
      <c r="B74" s="67">
        <f>B72-B73</f>
        <v>0.70000000000000018</v>
      </c>
      <c r="C74" s="67">
        <f t="shared" ref="C74:P74" si="4">C72-C73</f>
        <v>-0.375</v>
      </c>
      <c r="D74" s="67">
        <f t="shared" si="4"/>
        <v>-0.32500000000000018</v>
      </c>
      <c r="E74" s="67">
        <f t="shared" si="4"/>
        <v>0.10000000000000009</v>
      </c>
      <c r="F74" s="67">
        <f t="shared" si="4"/>
        <v>0.48499999999999988</v>
      </c>
      <c r="G74" s="67">
        <f t="shared" si="4"/>
        <v>0.53500000000000014</v>
      </c>
      <c r="H74" s="67">
        <f t="shared" si="4"/>
        <v>0.63499999999999979</v>
      </c>
      <c r="I74" s="67">
        <f t="shared" si="4"/>
        <v>0.56000000000000005</v>
      </c>
      <c r="J74" s="67">
        <f t="shared" si="4"/>
        <v>0.87999999999999989</v>
      </c>
      <c r="K74" s="67">
        <f t="shared" si="4"/>
        <v>0.87999999999999989</v>
      </c>
      <c r="L74" s="67">
        <f t="shared" si="4"/>
        <v>0.87999999999999989</v>
      </c>
      <c r="M74" s="67">
        <f t="shared" si="4"/>
        <v>0.95500000000000007</v>
      </c>
      <c r="N74" s="67">
        <f t="shared" si="4"/>
        <v>1.2200000000000002</v>
      </c>
      <c r="O74" s="67">
        <f t="shared" si="4"/>
        <v>1.2200000000000002</v>
      </c>
      <c r="P74" s="67">
        <f t="shared" si="4"/>
        <v>1.2200000000000002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90.666666666666657</v>
      </c>
      <c r="D76" s="59">
        <f>(AVERAGE(H73:J73)/AVERAGE(H72:J72))*100</f>
        <v>82.708333333333343</v>
      </c>
      <c r="E76" s="59">
        <f>(AVERAGE(K73:M73)/AVERAGE(K72:M72))*100</f>
        <v>77.375</v>
      </c>
      <c r="F76" s="59">
        <f>(AVERAGE(N73:P73)/AVERAGE(N72:P72))*100</f>
        <v>69.5</v>
      </c>
    </row>
    <row r="81" spans="1:16" x14ac:dyDescent="0.2">
      <c r="A81" s="58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84" spans="1:16" s="66" customFormat="1" x14ac:dyDescent="0.2">
      <c r="A84" s="66" t="s">
        <v>24</v>
      </c>
      <c r="B84" s="67">
        <f>B82-B83</f>
        <v>-1.3849999999999998</v>
      </c>
      <c r="C84" s="67">
        <f t="shared" ref="C84:P84" si="6">C82-C83</f>
        <v>-1.0750000000000002</v>
      </c>
      <c r="D84" s="67">
        <f t="shared" si="6"/>
        <v>-2.2199999999999998</v>
      </c>
      <c r="E84" s="67">
        <f t="shared" si="6"/>
        <v>-0.6549999999999998</v>
      </c>
      <c r="F84" s="67">
        <f t="shared" si="6"/>
        <v>-0.68500000000000005</v>
      </c>
      <c r="G84" s="67">
        <f t="shared" si="6"/>
        <v>-0.46499999999999986</v>
      </c>
      <c r="H84" s="67">
        <f t="shared" si="6"/>
        <v>-0.31499999999999995</v>
      </c>
      <c r="I84" s="67">
        <f t="shared" si="6"/>
        <v>-0.26500000000000012</v>
      </c>
      <c r="J84" s="67">
        <f t="shared" si="6"/>
        <v>-0.11500000000000021</v>
      </c>
      <c r="K84" s="67">
        <f t="shared" si="6"/>
        <v>-0.26500000000000012</v>
      </c>
      <c r="L84" s="67">
        <f t="shared" si="6"/>
        <v>-6.4999999999999947E-2</v>
      </c>
      <c r="M84" s="67">
        <f t="shared" si="6"/>
        <v>-6.4999999999999947E-2</v>
      </c>
      <c r="N84" s="67">
        <f t="shared" si="6"/>
        <v>0.49500000000000011</v>
      </c>
      <c r="O84" s="67">
        <f t="shared" si="6"/>
        <v>0.54499999999999993</v>
      </c>
      <c r="P84" s="67">
        <f t="shared" si="6"/>
        <v>0.54499999999999993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178</v>
      </c>
      <c r="C86" s="59">
        <f>(AVERAGE(E83:G83)/AVERAGE(E82:G82))*100</f>
        <v>130.08333333333331</v>
      </c>
      <c r="D86" s="59">
        <f>(AVERAGE(H83:J83)/AVERAGE(H82:J82))*100</f>
        <v>111.58333333333334</v>
      </c>
      <c r="E86" s="59">
        <f>(AVERAGE(K83:M83)/AVERAGE(K82:M82))*100</f>
        <v>106.58333333333331</v>
      </c>
      <c r="F86" s="59">
        <f>(AVERAGE(N83:P83)/AVERAGE(N82:P82))*100</f>
        <v>73.583333333333329</v>
      </c>
    </row>
    <row r="91" spans="1:16" x14ac:dyDescent="0.2">
      <c r="A91" s="58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94" spans="1:16" s="66" customFormat="1" x14ac:dyDescent="0.2">
      <c r="A94" s="66" t="s">
        <v>24</v>
      </c>
      <c r="B94" s="67">
        <f>B92-B93</f>
        <v>-0.27499999999999991</v>
      </c>
      <c r="C94" s="67">
        <f t="shared" ref="C94:P94" si="8">C92-C93</f>
        <v>-0.27499999999999991</v>
      </c>
      <c r="D94" s="67">
        <f t="shared" si="8"/>
        <v>-0.22500000000000009</v>
      </c>
      <c r="E94" s="67">
        <f t="shared" si="8"/>
        <v>0.125</v>
      </c>
      <c r="F94" s="67">
        <f t="shared" si="8"/>
        <v>-0.11249999999999982</v>
      </c>
      <c r="G94" s="67">
        <f t="shared" si="8"/>
        <v>0.13750000000000018</v>
      </c>
      <c r="H94" s="67">
        <f t="shared" si="8"/>
        <v>0.39999999999999991</v>
      </c>
      <c r="I94" s="67">
        <f t="shared" si="8"/>
        <v>0.39999999999999991</v>
      </c>
      <c r="J94" s="67">
        <f t="shared" si="8"/>
        <v>0.39999999999999991</v>
      </c>
      <c r="K94" s="67">
        <f t="shared" si="8"/>
        <v>0.39999999999999991</v>
      </c>
      <c r="L94" s="67">
        <f t="shared" si="8"/>
        <v>0.39999999999999991</v>
      </c>
      <c r="M94" s="67">
        <f t="shared" si="8"/>
        <v>0.39999999999999991</v>
      </c>
      <c r="N94" s="67">
        <f t="shared" si="8"/>
        <v>0.5</v>
      </c>
      <c r="O94" s="67">
        <f t="shared" si="8"/>
        <v>0.5</v>
      </c>
      <c r="P94" s="67">
        <f t="shared" si="8"/>
        <v>0.5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108.6111111111111</v>
      </c>
      <c r="C96" s="59">
        <f>(AVERAGE(E93:G93)/AVERAGE(E92:G92))*100</f>
        <v>98.333333333333329</v>
      </c>
      <c r="D96" s="59">
        <f>(AVERAGE(H93:J93)/AVERAGE(H92:J92))*100</f>
        <v>86.666666666666671</v>
      </c>
      <c r="E96" s="59">
        <f>(AVERAGE(K93:M93)/AVERAGE(K92:M92))*100</f>
        <v>86.666666666666671</v>
      </c>
      <c r="F96" s="59">
        <f>(AVERAGE(N93:P93)/AVERAGE(N92:P92))*100</f>
        <v>83.333333333333343</v>
      </c>
    </row>
    <row r="101" spans="1:16" x14ac:dyDescent="0.2">
      <c r="A101" s="58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04" spans="1:16" s="66" customFormat="1" x14ac:dyDescent="0.2">
      <c r="A104" s="66" t="s">
        <v>24</v>
      </c>
      <c r="B104" s="67">
        <f>B102-B103</f>
        <v>0.35000000000000009</v>
      </c>
      <c r="C104" s="67">
        <f t="shared" ref="C104:P104" si="10">C102-C103</f>
        <v>0.25</v>
      </c>
      <c r="D104" s="67">
        <f t="shared" si="10"/>
        <v>0</v>
      </c>
      <c r="E104" s="67">
        <f t="shared" si="10"/>
        <v>0.14999999999999991</v>
      </c>
      <c r="F104" s="67">
        <f t="shared" si="10"/>
        <v>-0.16000000000000014</v>
      </c>
      <c r="G104" s="67">
        <f t="shared" si="10"/>
        <v>-5.9999999999999609E-2</v>
      </c>
      <c r="H104" s="67">
        <f t="shared" si="10"/>
        <v>-0.27500000000000036</v>
      </c>
      <c r="I104" s="67">
        <f t="shared" si="10"/>
        <v>-0.15200000000000014</v>
      </c>
      <c r="J104" s="67">
        <f t="shared" si="10"/>
        <v>7.2999999999999954E-2</v>
      </c>
      <c r="K104" s="67">
        <f t="shared" si="10"/>
        <v>0.27300000000000013</v>
      </c>
      <c r="L104" s="67">
        <f t="shared" si="10"/>
        <v>0.51500000000000012</v>
      </c>
      <c r="M104" s="67">
        <f t="shared" si="10"/>
        <v>1.29</v>
      </c>
      <c r="N104" s="67">
        <f t="shared" si="10"/>
        <v>3</v>
      </c>
      <c r="O104" s="67">
        <f t="shared" si="10"/>
        <v>3</v>
      </c>
      <c r="P104" s="67">
        <f t="shared" si="10"/>
        <v>3</v>
      </c>
    </row>
    <row r="105" spans="1:16" s="59" customFormat="1" x14ac:dyDescent="0.2">
      <c r="B105" s="59" t="str">
        <f>B$155</f>
        <v>Q1</v>
      </c>
      <c r="C105" s="59" t="str">
        <f t="shared" ref="C105:F105" si="11">C$155</f>
        <v>Q2</v>
      </c>
      <c r="D105" s="59" t="str">
        <f t="shared" si="11"/>
        <v>Q3</v>
      </c>
      <c r="E105" s="59" t="str">
        <f t="shared" si="11"/>
        <v>Q4</v>
      </c>
      <c r="F105" s="59" t="str">
        <f t="shared" si="11"/>
        <v>Q1'27</v>
      </c>
    </row>
    <row r="106" spans="1:16" s="59" customFormat="1" x14ac:dyDescent="0.2">
      <c r="A106" s="59" t="str">
        <f>$A$156</f>
        <v>% Plan</v>
      </c>
      <c r="B106" s="59">
        <f>(AVERAGE(B103:D103)/AVERAGE(B102:D102))*100</f>
        <v>95</v>
      </c>
      <c r="C106" s="59">
        <f>(AVERAGE(E103:G103)/AVERAGE(E102:G102))*100</f>
        <v>100.58333333333334</v>
      </c>
      <c r="D106" s="59">
        <f>(AVERAGE(H103:J103)/AVERAGE(H102:J102))*100</f>
        <v>102.94999999999999</v>
      </c>
      <c r="E106" s="59">
        <f>(AVERAGE(K103:M103)/AVERAGE(K102:M102))*100</f>
        <v>82.683333333333337</v>
      </c>
      <c r="F106" s="59">
        <f>(AVERAGE(N103:P103)/AVERAGE(N102:P102))*100</f>
        <v>25</v>
      </c>
    </row>
    <row r="111" spans="1:16" x14ac:dyDescent="0.2">
      <c r="A111" s="58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14" spans="1:16" s="66" customFormat="1" x14ac:dyDescent="0.2">
      <c r="A114" s="66" t="s">
        <v>24</v>
      </c>
      <c r="B114" s="67">
        <f>B112-B113</f>
        <v>0.29999999999999982</v>
      </c>
      <c r="C114" s="67">
        <f t="shared" ref="C114:P114" si="12">C112-C113</f>
        <v>-4.9999999999999822E-2</v>
      </c>
      <c r="D114" s="67">
        <f t="shared" si="12"/>
        <v>-4.9999999999999822E-2</v>
      </c>
      <c r="E114" s="67">
        <f t="shared" si="12"/>
        <v>-0.28000000000000025</v>
      </c>
      <c r="F114" s="67">
        <f t="shared" si="12"/>
        <v>-0.99000000000000021</v>
      </c>
      <c r="G114" s="67">
        <f t="shared" si="12"/>
        <v>-0.49000000000000021</v>
      </c>
      <c r="H114" s="67">
        <f t="shared" si="12"/>
        <v>-0.15000000000000036</v>
      </c>
      <c r="I114" s="67">
        <f t="shared" si="12"/>
        <v>0.29999999999999982</v>
      </c>
      <c r="J114" s="67">
        <f t="shared" si="12"/>
        <v>0.5</v>
      </c>
      <c r="K114" s="67">
        <f t="shared" si="12"/>
        <v>0.5</v>
      </c>
      <c r="L114" s="67">
        <f t="shared" si="12"/>
        <v>0.5</v>
      </c>
      <c r="M114" s="67">
        <f t="shared" si="12"/>
        <v>0.5</v>
      </c>
      <c r="N114" s="67">
        <f t="shared" si="12"/>
        <v>1.7799999999999998</v>
      </c>
      <c r="O114" s="67">
        <f t="shared" si="12"/>
        <v>1.7799999999999998</v>
      </c>
      <c r="P114" s="67">
        <f t="shared" si="12"/>
        <v>1.7799999999999998</v>
      </c>
    </row>
    <row r="115" spans="1:16" s="59" customFormat="1" x14ac:dyDescent="0.2">
      <c r="B115" s="59" t="str">
        <f>B$155</f>
        <v>Q1</v>
      </c>
      <c r="C115" s="59" t="str">
        <f t="shared" ref="C115:F115" si="13">C$155</f>
        <v>Q2</v>
      </c>
      <c r="D115" s="59" t="str">
        <f t="shared" si="13"/>
        <v>Q3</v>
      </c>
      <c r="E115" s="59" t="str">
        <f t="shared" si="13"/>
        <v>Q4</v>
      </c>
      <c r="F115" s="59" t="str">
        <f t="shared" si="13"/>
        <v>Q1'27</v>
      </c>
    </row>
    <row r="116" spans="1:16" s="59" customFormat="1" x14ac:dyDescent="0.2">
      <c r="A116" s="59" t="str">
        <f>$A$156</f>
        <v>% Plan</v>
      </c>
      <c r="B116" s="59">
        <f>(AVERAGE(B113:D113)/AVERAGE(B112:D112))*100</f>
        <v>98.666666666666671</v>
      </c>
      <c r="C116" s="59">
        <f>(AVERAGE(E113:G113)/AVERAGE(E112:G112))*100</f>
        <v>111.73333333333333</v>
      </c>
      <c r="D116" s="59">
        <f>(AVERAGE(H113:J113)/AVERAGE(H112:J112))*100</f>
        <v>95.666666666666671</v>
      </c>
      <c r="E116" s="59">
        <f>(AVERAGE(K113:M113)/AVERAGE(K112:M112))*100</f>
        <v>90</v>
      </c>
      <c r="F116" s="59">
        <f>(AVERAGE(N113:P113)/AVERAGE(N112:P112))*100</f>
        <v>64.400000000000006</v>
      </c>
    </row>
    <row r="121" spans="1:16" x14ac:dyDescent="0.2">
      <c r="A121" s="58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24" spans="1:16" s="66" customFormat="1" x14ac:dyDescent="0.2">
      <c r="A124" s="66" t="s">
        <v>24</v>
      </c>
      <c r="B124" s="67">
        <f>B122-B123</f>
        <v>1.0700000000000003</v>
      </c>
      <c r="C124" s="67">
        <f t="shared" ref="C124:P124" si="14">C122-C123</f>
        <v>-0.30000000000000071</v>
      </c>
      <c r="D124" s="67">
        <f t="shared" si="14"/>
        <v>-0.50999999999999979</v>
      </c>
      <c r="E124" s="67">
        <f t="shared" si="14"/>
        <v>0.3149999999999995</v>
      </c>
      <c r="F124" s="67">
        <f t="shared" si="14"/>
        <v>-0.9399999999999995</v>
      </c>
      <c r="G124" s="67">
        <f t="shared" si="14"/>
        <v>-1.4600000000000009</v>
      </c>
      <c r="H124" s="67">
        <f t="shared" si="14"/>
        <v>-3.4000000000000004</v>
      </c>
      <c r="I124" s="67">
        <f t="shared" si="14"/>
        <v>-3.25</v>
      </c>
      <c r="J124" s="67">
        <f t="shared" si="14"/>
        <v>-3.75</v>
      </c>
      <c r="K124" s="67">
        <f t="shared" si="14"/>
        <v>-1.4499999999999993</v>
      </c>
      <c r="L124" s="67">
        <f t="shared" si="14"/>
        <v>-1.1999999999999993</v>
      </c>
      <c r="M124" s="67">
        <f t="shared" si="14"/>
        <v>-0.84999999999999964</v>
      </c>
      <c r="N124" s="67">
        <f t="shared" si="14"/>
        <v>2.4000000000000004</v>
      </c>
      <c r="O124" s="67">
        <f t="shared" si="14"/>
        <v>2.4000000000000004</v>
      </c>
      <c r="P124" s="67">
        <f t="shared" si="14"/>
        <v>2.4000000000000004</v>
      </c>
    </row>
    <row r="125" spans="1:16" s="59" customFormat="1" x14ac:dyDescent="0.2">
      <c r="B125" s="59" t="str">
        <f>B$155</f>
        <v>Q1</v>
      </c>
      <c r="C125" s="59" t="str">
        <f t="shared" ref="C125:F125" si="15">C$155</f>
        <v>Q2</v>
      </c>
      <c r="D125" s="59" t="str">
        <f t="shared" si="15"/>
        <v>Q3</v>
      </c>
      <c r="E125" s="59" t="str">
        <f t="shared" si="15"/>
        <v>Q4</v>
      </c>
      <c r="F125" s="59" t="str">
        <f t="shared" si="15"/>
        <v>Q1'27</v>
      </c>
    </row>
    <row r="126" spans="1:16" s="59" customFormat="1" x14ac:dyDescent="0.2">
      <c r="A126" s="59" t="str">
        <f>$A$156</f>
        <v>% Plan</v>
      </c>
      <c r="B126" s="59">
        <f>(AVERAGE(B123:D123)/AVERAGE(B122:D122))*100</f>
        <v>99.1875</v>
      </c>
      <c r="C126" s="59">
        <f>(AVERAGE(E123:G123)/AVERAGE(E122:G122))*100</f>
        <v>105.79166666666666</v>
      </c>
      <c r="D126" s="59">
        <f>(AVERAGE(H123:J123)/AVERAGE(H122:J122))*100</f>
        <v>128.88888888888889</v>
      </c>
      <c r="E126" s="59">
        <f>(AVERAGE(K123:M123)/AVERAGE(K122:M122))*100</f>
        <v>109.72222222222221</v>
      </c>
      <c r="F126" s="59">
        <f>(AVERAGE(N123:P123)/AVERAGE(N122:P122))*100</f>
        <v>80</v>
      </c>
    </row>
    <row r="131" spans="1:16" x14ac:dyDescent="0.2">
      <c r="A131" s="58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  <row r="134" spans="1:16" s="66" customFormat="1" x14ac:dyDescent="0.2">
      <c r="A134" s="66" t="s">
        <v>24</v>
      </c>
      <c r="B134" s="67">
        <f>B132-B133</f>
        <v>0.91999999999999993</v>
      </c>
      <c r="C134" s="67">
        <f t="shared" ref="C134:P134" si="16">C132-C133</f>
        <v>1.06</v>
      </c>
      <c r="D134" s="67">
        <f t="shared" si="16"/>
        <v>1.0099999999999998</v>
      </c>
      <c r="E134" s="67">
        <f t="shared" si="16"/>
        <v>0.93000000000000016</v>
      </c>
      <c r="F134" s="67">
        <f t="shared" si="16"/>
        <v>0.93000000000000016</v>
      </c>
      <c r="G134" s="67">
        <f t="shared" si="16"/>
        <v>0.77</v>
      </c>
      <c r="H134" s="67">
        <f t="shared" si="16"/>
        <v>0.16999999999999993</v>
      </c>
      <c r="I134" s="67">
        <f t="shared" si="16"/>
        <v>0.16999999999999993</v>
      </c>
      <c r="J134" s="67">
        <f t="shared" si="16"/>
        <v>0.16999999999999993</v>
      </c>
      <c r="K134" s="67">
        <f t="shared" si="16"/>
        <v>0.16999999999999993</v>
      </c>
      <c r="L134" s="67">
        <f t="shared" si="16"/>
        <v>-0.20000000000000018</v>
      </c>
      <c r="M134" s="67">
        <f t="shared" si="16"/>
        <v>-1.2000000000000002</v>
      </c>
      <c r="N134" s="67">
        <f t="shared" si="16"/>
        <v>-1.2000000000000002</v>
      </c>
      <c r="O134" s="67">
        <f t="shared" si="16"/>
        <v>-1.2000000000000002</v>
      </c>
      <c r="P134" s="67">
        <f t="shared" si="16"/>
        <v>-1.2000000000000002</v>
      </c>
    </row>
    <row r="135" spans="1:16" s="59" customFormat="1" x14ac:dyDescent="0.2">
      <c r="B135" s="59" t="str">
        <f>B$155</f>
        <v>Q1</v>
      </c>
      <c r="C135" s="59" t="str">
        <f t="shared" ref="C135:F135" si="17">C$155</f>
        <v>Q2</v>
      </c>
      <c r="D135" s="59" t="str">
        <f t="shared" si="17"/>
        <v>Q3</v>
      </c>
      <c r="E135" s="59" t="str">
        <f t="shared" si="17"/>
        <v>Q4</v>
      </c>
      <c r="F135" s="59" t="str">
        <f t="shared" si="17"/>
        <v>Q1'27</v>
      </c>
    </row>
    <row r="136" spans="1:16" s="59" customFormat="1" x14ac:dyDescent="0.2">
      <c r="A136" s="59" t="str">
        <f>$A$156</f>
        <v>% Plan</v>
      </c>
      <c r="B136" s="59">
        <f>(AVERAGE(B133:D133)/AVERAGE(B132:D132))*100</f>
        <v>75.083333333333329</v>
      </c>
      <c r="C136" s="59">
        <f>(AVERAGE(E133:G133)/AVERAGE(E132:G132))*100</f>
        <v>78.083333333333329</v>
      </c>
      <c r="D136" s="59">
        <f>(AVERAGE(H133:J133)/AVERAGE(H132:J132))*100</f>
        <v>95.75</v>
      </c>
      <c r="E136" s="59">
        <f>(AVERAGE(K133:M133)/AVERAGE(K132:M132))*100</f>
        <v>110.25</v>
      </c>
      <c r="F136" s="59">
        <f>(AVERAGE(N133:P133)/AVERAGE(N132:P132))*100</f>
        <v>130</v>
      </c>
    </row>
    <row r="151" spans="1:16" x14ac:dyDescent="0.2">
      <c r="B151" t="str">
        <f>SD!C1</f>
        <v>JAN</v>
      </c>
      <c r="C151" t="str">
        <f>SD!D1</f>
        <v>FEB</v>
      </c>
      <c r="D151" t="str">
        <f>SD!E1</f>
        <v>MAR</v>
      </c>
      <c r="E151" t="str">
        <f>SD!F1</f>
        <v>APR</v>
      </c>
      <c r="F151" t="str">
        <f>SD!G1</f>
        <v>MAY</v>
      </c>
      <c r="G151" t="str">
        <f>SD!H1</f>
        <v>JUN</v>
      </c>
      <c r="H151" t="str">
        <f>SD!I1</f>
        <v>JUL</v>
      </c>
      <c r="I151" t="str">
        <f>SD!J1</f>
        <v>AUG</v>
      </c>
      <c r="J151" t="str">
        <f>SD!K1</f>
        <v>SEP</v>
      </c>
      <c r="K151" t="str">
        <f>SD!L1</f>
        <v>OCT</v>
      </c>
      <c r="L151" t="str">
        <f>SD!M1</f>
        <v>NOV</v>
      </c>
      <c r="M151" t="str">
        <f>SD!N1</f>
        <v>DEC</v>
      </c>
      <c r="N151" t="str">
        <f>SD!O1</f>
        <v>JAN'27</v>
      </c>
      <c r="O151" t="str">
        <f>SD!P1</f>
        <v>FEB'27</v>
      </c>
      <c r="P151" t="str">
        <f>SD!Q1</f>
        <v>MAR'27</v>
      </c>
    </row>
    <row r="152" spans="1:16" x14ac:dyDescent="0.2">
      <c r="A152" t="str">
        <f>SD!B6</f>
        <v>% Plan</v>
      </c>
      <c r="B152">
        <f>SD!C6*100</f>
        <v>94.089999999999989</v>
      </c>
      <c r="C152">
        <f>SD!D6*100</f>
        <v>101.86999999999999</v>
      </c>
      <c r="D152">
        <f>SD!E6*100</f>
        <v>103.99000000000001</v>
      </c>
      <c r="E152">
        <f>SD!F6*100</f>
        <v>95.08</v>
      </c>
      <c r="F152">
        <f>SD!G6*100</f>
        <v>100.44999999999999</v>
      </c>
      <c r="G152">
        <f>SD!H6*100</f>
        <v>101.02</v>
      </c>
      <c r="H152">
        <f>SD!I6*100</f>
        <v>103.86999999999999</v>
      </c>
      <c r="I152">
        <f>SD!J6*100</f>
        <v>100.35000000000001</v>
      </c>
      <c r="J152">
        <f>SD!K6*100</f>
        <v>98.71</v>
      </c>
      <c r="K152">
        <f>SD!L6*100</f>
        <v>92.39</v>
      </c>
      <c r="L152">
        <f>SD!M6*100</f>
        <v>91.09</v>
      </c>
      <c r="M152">
        <f>SD!N6*100</f>
        <v>90.22</v>
      </c>
      <c r="N152">
        <f>SD!O6*100</f>
        <v>70.44</v>
      </c>
      <c r="O152">
        <f>SD!P6*100</f>
        <v>69.789999999999992</v>
      </c>
      <c r="P152">
        <f>SD!Q6*100</f>
        <v>69.789999999999992</v>
      </c>
    </row>
    <row r="153" spans="1:16" x14ac:dyDescent="0.2">
      <c r="A153" t="str">
        <f>SD!B7</f>
        <v>Available FTE</v>
      </c>
      <c r="B153">
        <f>SD!C7</f>
        <v>3</v>
      </c>
      <c r="C153">
        <f>SD!D7</f>
        <v>-1</v>
      </c>
      <c r="D153">
        <f>SD!E7</f>
        <v>-2</v>
      </c>
      <c r="E153">
        <f>SD!F7</f>
        <v>2</v>
      </c>
      <c r="F153">
        <f>SD!G7</f>
        <v>0</v>
      </c>
      <c r="G153">
        <f>SD!H7</f>
        <v>0</v>
      </c>
      <c r="H153">
        <f>SD!I7</f>
        <v>-2</v>
      </c>
      <c r="I153">
        <f>SD!J7</f>
        <v>0</v>
      </c>
      <c r="J153">
        <f>SD!K7</f>
        <v>1</v>
      </c>
      <c r="K153">
        <f>SD!L7</f>
        <v>4</v>
      </c>
      <c r="L153">
        <f>SD!M7</f>
        <v>4</v>
      </c>
      <c r="M153">
        <f>SD!N7</f>
        <v>4</v>
      </c>
      <c r="N153">
        <f>SD!O7</f>
        <v>14</v>
      </c>
      <c r="O153">
        <f>SD!P7</f>
        <v>14</v>
      </c>
      <c r="P153">
        <f>SD!Q7</f>
        <v>14</v>
      </c>
    </row>
    <row r="155" spans="1:16" x14ac:dyDescent="0.2">
      <c r="B155" t="str">
        <f>SD!C31</f>
        <v>Q1</v>
      </c>
      <c r="C155" t="str">
        <f>SD!D31</f>
        <v>Q2</v>
      </c>
      <c r="D155" t="str">
        <f>SD!E31</f>
        <v>Q3</v>
      </c>
      <c r="E155" t="str">
        <f>SD!F31</f>
        <v>Q4</v>
      </c>
      <c r="F155" t="str">
        <f>SD!G31</f>
        <v>Q1'27</v>
      </c>
    </row>
    <row r="156" spans="1:16" x14ac:dyDescent="0.2">
      <c r="A156" t="str">
        <f>SD!B6</f>
        <v>% Plan</v>
      </c>
      <c r="B156">
        <f>SD!C36*100</f>
        <v>100.1</v>
      </c>
      <c r="C156">
        <f>SD!D36*100</f>
        <v>98.850000000000009</v>
      </c>
      <c r="D156">
        <f>SD!E36*100</f>
        <v>100.98</v>
      </c>
      <c r="E156">
        <f>SD!F36*100</f>
        <v>91.24</v>
      </c>
      <c r="F156">
        <f>SD!G36*100</f>
        <v>70</v>
      </c>
    </row>
    <row r="157" spans="1:16" x14ac:dyDescent="0.2">
      <c r="A157" t="str">
        <f>SD!B7</f>
        <v>Available FTE</v>
      </c>
      <c r="B157">
        <f>SD!C37</f>
        <v>0</v>
      </c>
      <c r="C157">
        <f>SD!D37</f>
        <v>1</v>
      </c>
      <c r="D157">
        <f>SD!E37</f>
        <v>0</v>
      </c>
      <c r="E157">
        <f>SD!F37</f>
        <v>4</v>
      </c>
      <c r="F157">
        <f>SD!G37</f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4" workbookViewId="0">
      <selection activeCell="G32" sqref="G32:G4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20</v>
      </c>
      <c r="G3" s="8">
        <v>20</v>
      </c>
      <c r="H3" s="8">
        <v>20</v>
      </c>
      <c r="I3" s="8">
        <v>20</v>
      </c>
      <c r="J3" s="8">
        <v>20</v>
      </c>
      <c r="K3" s="8">
        <v>20</v>
      </c>
      <c r="L3" s="8">
        <v>20</v>
      </c>
      <c r="M3" s="8">
        <v>20</v>
      </c>
      <c r="N3" s="8">
        <v>20</v>
      </c>
      <c r="O3" s="8">
        <v>20</v>
      </c>
      <c r="P3" s="8">
        <v>20</v>
      </c>
      <c r="Q3" s="8">
        <v>20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20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8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0.55869999999999997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0.44130000000000003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8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</v>
      </c>
      <c r="O3">
        <f>IF(AIC!P3&gt;0,AIC!P3,"")</f>
        <v>20</v>
      </c>
      <c r="P3">
        <f>IF(AIC!Q3&gt;0,AIC!Q3,"")</f>
        <v>20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8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8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8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6" customFormat="1" x14ac:dyDescent="0.2">
      <c r="A54" s="66" t="s">
        <v>24</v>
      </c>
      <c r="B54" s="67">
        <f>B52-B53</f>
        <v>1.2000000000000002</v>
      </c>
      <c r="C54" s="67">
        <f t="shared" ref="C54:P54" si="0">C52-C53</f>
        <v>1.2000000000000002</v>
      </c>
      <c r="D54" s="67">
        <f t="shared" si="0"/>
        <v>0.20000000000000018</v>
      </c>
      <c r="E54" s="67">
        <f t="shared" si="0"/>
        <v>0.10000000000000009</v>
      </c>
      <c r="F54" s="67">
        <f t="shared" si="0"/>
        <v>0.10000000000000009</v>
      </c>
      <c r="G54" s="67">
        <f t="shared" si="0"/>
        <v>0.10000000000000009</v>
      </c>
      <c r="H54" s="67">
        <f t="shared" si="0"/>
        <v>0.10000000000000009</v>
      </c>
      <c r="I54" s="67">
        <f t="shared" si="0"/>
        <v>0.10000000000000009</v>
      </c>
      <c r="J54" s="67">
        <f t="shared" si="0"/>
        <v>0.10000000000000009</v>
      </c>
      <c r="K54" s="67">
        <f t="shared" si="0"/>
        <v>0.10000000000000009</v>
      </c>
      <c r="L54" s="67">
        <f t="shared" si="0"/>
        <v>0.10000000000000009</v>
      </c>
      <c r="M54" s="67">
        <f t="shared" si="0"/>
        <v>0.10000000000000009</v>
      </c>
      <c r="N54" s="67">
        <f t="shared" si="0"/>
        <v>0.10000000000000009</v>
      </c>
      <c r="O54" s="67">
        <f t="shared" si="0"/>
        <v>0.10000000000000009</v>
      </c>
      <c r="P54" s="67">
        <f t="shared" si="0"/>
        <v>0.10000000000000009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76.363636363636346</v>
      </c>
      <c r="C56" s="59">
        <f>(AVERAGE(E53:G53)/AVERAGE(E52:G52))*100</f>
        <v>96.666666666666671</v>
      </c>
      <c r="D56" s="59">
        <f>(AVERAGE(H53:J53)/AVERAGE(H52:J52))*100</f>
        <v>96.666666666666671</v>
      </c>
      <c r="E56" s="59">
        <f>(AVERAGE(K53:M53)/AVERAGE(K52:M52))*100</f>
        <v>96.666666666666671</v>
      </c>
      <c r="F56" s="59">
        <f>(AVERAGE(N53:P53)/AVERAGE(N52:P52))*100</f>
        <v>96.666666666666671</v>
      </c>
    </row>
    <row r="61" spans="1:16" x14ac:dyDescent="0.2">
      <c r="A61" s="58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64" spans="1:16" s="66" customFormat="1" x14ac:dyDescent="0.2">
      <c r="A64" s="66" t="s">
        <v>24</v>
      </c>
      <c r="B64" s="67">
        <f>B62-B63</f>
        <v>2.7874999999999996</v>
      </c>
      <c r="C64" s="67">
        <f t="shared" ref="C64:P64" si="2">C62-C63</f>
        <v>1.7593750000000004</v>
      </c>
      <c r="D64" s="67">
        <f t="shared" si="2"/>
        <v>1.859375</v>
      </c>
      <c r="E64" s="67">
        <f t="shared" si="2"/>
        <v>0.98687500000000039</v>
      </c>
      <c r="F64" s="67">
        <f t="shared" si="2"/>
        <v>0.91187500000000021</v>
      </c>
      <c r="G64" s="67">
        <f t="shared" si="2"/>
        <v>1.0118749999999999</v>
      </c>
      <c r="H64" s="67">
        <f t="shared" si="2"/>
        <v>2.6524999999999999</v>
      </c>
      <c r="I64" s="67">
        <f t="shared" si="2"/>
        <v>2.8525</v>
      </c>
      <c r="J64" s="67">
        <f t="shared" si="2"/>
        <v>2.8525</v>
      </c>
      <c r="K64" s="67">
        <f t="shared" si="2"/>
        <v>3.8899999999999997</v>
      </c>
      <c r="L64" s="67">
        <f t="shared" si="2"/>
        <v>3.8899999999999997</v>
      </c>
      <c r="M64" s="67">
        <f t="shared" si="2"/>
        <v>3.8899999999999997</v>
      </c>
      <c r="N64" s="67">
        <f t="shared" si="2"/>
        <v>4.3149999999999995</v>
      </c>
      <c r="O64" s="67">
        <f t="shared" si="2"/>
        <v>4.3149999999999995</v>
      </c>
      <c r="P64" s="67">
        <f t="shared" si="2"/>
        <v>4.3149999999999995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73.307291666666657</v>
      </c>
      <c r="C66" s="59">
        <f>(AVERAGE(E63:G63)/AVERAGE(E62:G62))*100</f>
        <v>87.872395833333343</v>
      </c>
      <c r="D66" s="59">
        <f>(AVERAGE(H63:J63)/AVERAGE(H62:J62))*100</f>
        <v>65.177083333333343</v>
      </c>
      <c r="E66" s="59">
        <f>(AVERAGE(K63:M63)/AVERAGE(K62:M62))*100</f>
        <v>51.375000000000007</v>
      </c>
      <c r="F66" s="59">
        <f>(AVERAGE(N63:P63)/AVERAGE(N62:P62))*100</f>
        <v>46.0625</v>
      </c>
    </row>
    <row r="71" spans="1:16" x14ac:dyDescent="0.2">
      <c r="A71" s="58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74" spans="1:16" s="66" customFormat="1" x14ac:dyDescent="0.2">
      <c r="A74" s="66" t="s">
        <v>24</v>
      </c>
      <c r="B74" s="67">
        <f>B72-B73</f>
        <v>2.8</v>
      </c>
      <c r="C74" s="67">
        <f t="shared" ref="C74:P74" si="4">C72-C73</f>
        <v>1.5</v>
      </c>
      <c r="D74" s="67">
        <f t="shared" si="4"/>
        <v>1.8499999999999996</v>
      </c>
      <c r="E74" s="67">
        <f t="shared" si="4"/>
        <v>0.95000000000000018</v>
      </c>
      <c r="F74" s="67">
        <f t="shared" si="4"/>
        <v>0.70000000000000018</v>
      </c>
      <c r="G74" s="67">
        <f t="shared" si="4"/>
        <v>1.0499999999999998</v>
      </c>
      <c r="H74" s="67">
        <f t="shared" si="4"/>
        <v>0.54999999999999982</v>
      </c>
      <c r="I74" s="67">
        <f t="shared" si="4"/>
        <v>1.2000000000000002</v>
      </c>
      <c r="J74" s="67">
        <f t="shared" si="4"/>
        <v>1.25</v>
      </c>
      <c r="K74" s="67">
        <f t="shared" si="4"/>
        <v>1.2999999999999998</v>
      </c>
      <c r="L74" s="67">
        <f t="shared" si="4"/>
        <v>1.2999999999999998</v>
      </c>
      <c r="M74" s="67">
        <f t="shared" si="4"/>
        <v>1.2999999999999998</v>
      </c>
      <c r="N74" s="67">
        <f t="shared" si="4"/>
        <v>3.6</v>
      </c>
      <c r="O74" s="67">
        <f t="shared" si="4"/>
        <v>3.6</v>
      </c>
      <c r="P74" s="67">
        <f t="shared" si="4"/>
        <v>3.6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67.631578947368425</v>
      </c>
      <c r="C76" s="59">
        <f>(AVERAGE(E73:G73)/AVERAGE(E72:G72))*100</f>
        <v>85.000000000000014</v>
      </c>
      <c r="D76" s="59">
        <f>(AVERAGE(H73:J73)/AVERAGE(H72:J72))*100</f>
        <v>80</v>
      </c>
      <c r="E76" s="59">
        <f>(AVERAGE(K73:M73)/AVERAGE(K72:M72))*100</f>
        <v>74.000000000000014</v>
      </c>
      <c r="F76" s="59">
        <f>(AVERAGE(N73:P73)/AVERAGE(N72:P72))*100</f>
        <v>27.999999999999993</v>
      </c>
    </row>
    <row r="81" spans="1:16" x14ac:dyDescent="0.2">
      <c r="A81" s="58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84" spans="1:16" s="66" customFormat="1" x14ac:dyDescent="0.2">
      <c r="A84" s="66" t="s">
        <v>24</v>
      </c>
      <c r="B84" s="67">
        <f>B82-B83</f>
        <v>0.89999999999999991</v>
      </c>
      <c r="C84" s="67">
        <f t="shared" ref="C84:P84" si="6">C82-C83</f>
        <v>0.79999999999999982</v>
      </c>
      <c r="D84" s="67">
        <f t="shared" si="6"/>
        <v>1.0125000000000002</v>
      </c>
      <c r="E84" s="67">
        <f t="shared" si="6"/>
        <v>0.39999999999999991</v>
      </c>
      <c r="F84" s="67">
        <f t="shared" si="6"/>
        <v>-0.10499999999999998</v>
      </c>
      <c r="G84" s="67">
        <f t="shared" si="6"/>
        <v>-0.125</v>
      </c>
      <c r="H84" s="67">
        <f t="shared" si="6"/>
        <v>-0.125</v>
      </c>
      <c r="I84" s="67">
        <f t="shared" si="6"/>
        <v>-0.125</v>
      </c>
      <c r="J84" s="67">
        <f t="shared" si="6"/>
        <v>0.42499999999999982</v>
      </c>
      <c r="K84" s="67">
        <f t="shared" si="6"/>
        <v>0.125</v>
      </c>
      <c r="L84" s="67">
        <f t="shared" si="6"/>
        <v>7.5000000000000178E-2</v>
      </c>
      <c r="M84" s="67">
        <f t="shared" si="6"/>
        <v>0.375</v>
      </c>
      <c r="N84" s="67">
        <f t="shared" si="6"/>
        <v>2.6</v>
      </c>
      <c r="O84" s="67">
        <f t="shared" si="6"/>
        <v>2.6</v>
      </c>
      <c r="P84" s="67">
        <f t="shared" si="6"/>
        <v>2.6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77.395833333333343</v>
      </c>
      <c r="C86" s="59">
        <f>(AVERAGE(E83:G83)/AVERAGE(E82:G82))*100</f>
        <v>98.3</v>
      </c>
      <c r="D86" s="59">
        <f>(AVERAGE(H83:J83)/AVERAGE(H82:J82))*100</f>
        <v>98.055555555555557</v>
      </c>
      <c r="E86" s="59">
        <f>(AVERAGE(K83:M83)/AVERAGE(K82:M82))*100</f>
        <v>93.611111111111128</v>
      </c>
      <c r="F86" s="59">
        <f>(AVERAGE(N83:P83)/AVERAGE(N82:P82))*100</f>
        <v>13.333333333333336</v>
      </c>
    </row>
    <row r="91" spans="1:16" x14ac:dyDescent="0.2">
      <c r="A91" s="58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6" customFormat="1" x14ac:dyDescent="0.2">
      <c r="A94" s="66" t="s">
        <v>24</v>
      </c>
      <c r="B94" s="67">
        <f>B92-B93</f>
        <v>0.4</v>
      </c>
      <c r="C94" s="67">
        <f t="shared" ref="C94:P94" si="8">C92-C93</f>
        <v>0.4</v>
      </c>
      <c r="D94" s="67">
        <f t="shared" si="8"/>
        <v>0.6</v>
      </c>
      <c r="E94" s="67">
        <f t="shared" si="8"/>
        <v>0</v>
      </c>
      <c r="F94" s="67">
        <f t="shared" si="8"/>
        <v>0</v>
      </c>
      <c r="G94" s="67">
        <f t="shared" si="8"/>
        <v>0</v>
      </c>
      <c r="H94" s="67">
        <f t="shared" si="8"/>
        <v>0</v>
      </c>
      <c r="I94" s="67">
        <f t="shared" si="8"/>
        <v>0</v>
      </c>
      <c r="J94" s="67">
        <f t="shared" si="8"/>
        <v>0</v>
      </c>
      <c r="K94" s="67">
        <f t="shared" si="8"/>
        <v>0</v>
      </c>
      <c r="L94" s="67">
        <f t="shared" si="8"/>
        <v>0</v>
      </c>
      <c r="M94" s="67">
        <f t="shared" si="8"/>
        <v>0</v>
      </c>
      <c r="N94" s="67">
        <f t="shared" si="8"/>
        <v>0</v>
      </c>
      <c r="O94" s="67">
        <f t="shared" si="8"/>
        <v>0</v>
      </c>
      <c r="P94" s="67">
        <f t="shared" si="8"/>
        <v>0</v>
      </c>
    </row>
    <row r="95" spans="1:16" s="59" customFormat="1" x14ac:dyDescent="0.2">
      <c r="B95" s="59" t="str">
        <f>B$155</f>
        <v>Q1</v>
      </c>
      <c r="C95" s="59" t="str">
        <f t="shared" ref="C95:F95" si="9">C$155</f>
        <v>Q2</v>
      </c>
      <c r="D95" s="59" t="str">
        <f t="shared" si="9"/>
        <v>Q3</v>
      </c>
      <c r="E95" s="59" t="str">
        <f t="shared" si="9"/>
        <v>Q4</v>
      </c>
      <c r="F95" s="59" t="str">
        <f t="shared" si="9"/>
        <v>Q1'27</v>
      </c>
    </row>
    <row r="96" spans="1:16" s="59" customFormat="1" x14ac:dyDescent="0.2">
      <c r="A96" s="59" t="str">
        <f>$A$156</f>
        <v>% Plan</v>
      </c>
      <c r="B96" s="59">
        <f>(AVERAGE(B93:D93)/AVERAGE(B92:D92))*100</f>
        <v>53.333333333333336</v>
      </c>
      <c r="C96" s="60">
        <v>0</v>
      </c>
      <c r="D96" s="60">
        <v>0</v>
      </c>
      <c r="E96" s="60">
        <v>0</v>
      </c>
      <c r="F96" s="60">
        <v>0</v>
      </c>
    </row>
    <row r="151" spans="1:16" x14ac:dyDescent="0.2">
      <c r="B151" t="str">
        <f>AIC!C1</f>
        <v>JAN</v>
      </c>
      <c r="C151" t="str">
        <f>AIC!D1</f>
        <v>FEB</v>
      </c>
      <c r="D151" t="str">
        <f>AIC!E1</f>
        <v>MAR</v>
      </c>
      <c r="E151" t="str">
        <f>AIC!F1</f>
        <v>APR</v>
      </c>
      <c r="F151" t="str">
        <f>AIC!G1</f>
        <v>MAY</v>
      </c>
      <c r="G151" t="str">
        <f>AIC!H1</f>
        <v>JUN</v>
      </c>
      <c r="H151" t="str">
        <f>AIC!I1</f>
        <v>JUL</v>
      </c>
      <c r="I151" t="str">
        <f>AIC!J1</f>
        <v>AUG</v>
      </c>
      <c r="J151" t="str">
        <f>AIC!K1</f>
        <v>SEP</v>
      </c>
      <c r="K151" t="str">
        <f>AIC!L1</f>
        <v>OCT</v>
      </c>
      <c r="L151" t="str">
        <f>AIC!M1</f>
        <v>NOV</v>
      </c>
      <c r="M151" t="str">
        <f>AIC!N1</f>
        <v>DEC</v>
      </c>
      <c r="N151" t="str">
        <f>AIC!O1</f>
        <v>JAN'27</v>
      </c>
      <c r="O151" t="str">
        <f>AIC!P1</f>
        <v>FEB'27</v>
      </c>
      <c r="P151" t="str">
        <f>AIC!Q1</f>
        <v>MAR'27</v>
      </c>
    </row>
    <row r="152" spans="1:16" x14ac:dyDescent="0.2">
      <c r="A152" t="str">
        <f>AIC!B6</f>
        <v>% Plan</v>
      </c>
      <c r="B152">
        <f>AIC!C6*100</f>
        <v>66.3</v>
      </c>
      <c r="C152">
        <f>AIC!D6*100</f>
        <v>75.39</v>
      </c>
      <c r="D152">
        <f>AIC!E6*100</f>
        <v>74.900000000000006</v>
      </c>
      <c r="E152">
        <f>AIC!F6*100</f>
        <v>88.4</v>
      </c>
      <c r="F152">
        <f>AIC!G6*100</f>
        <v>91.97</v>
      </c>
      <c r="G152">
        <f>AIC!H6*100</f>
        <v>89.82</v>
      </c>
      <c r="H152">
        <f>AIC!I6*100</f>
        <v>83.28</v>
      </c>
      <c r="I152">
        <f>AIC!J6*100</f>
        <v>78.8</v>
      </c>
      <c r="J152">
        <f>AIC!K6*100</f>
        <v>75.64</v>
      </c>
      <c r="K152">
        <f>AIC!L6*100</f>
        <v>71.5</v>
      </c>
      <c r="L152">
        <f>AIC!M6*100</f>
        <v>71.760000000000005</v>
      </c>
      <c r="M152">
        <f>AIC!N6*100</f>
        <v>70.179999999999993</v>
      </c>
      <c r="N152">
        <f>AIC!O6*100</f>
        <v>44.13</v>
      </c>
      <c r="O152">
        <f>AIC!P6*100</f>
        <v>44.13</v>
      </c>
      <c r="P152">
        <f>AIC!Q6*100</f>
        <v>44.13</v>
      </c>
    </row>
    <row r="153" spans="1:16" x14ac:dyDescent="0.2">
      <c r="A153" t="str">
        <f>AIC!B7</f>
        <v>Available FTE</v>
      </c>
      <c r="B153">
        <f>AIC!C7</f>
        <v>8</v>
      </c>
      <c r="C153">
        <f>AIC!D7</f>
        <v>6</v>
      </c>
      <c r="D153">
        <f>AIC!E7</f>
        <v>6</v>
      </c>
      <c r="E153">
        <f>AIC!F7</f>
        <v>2</v>
      </c>
      <c r="F153">
        <f>AIC!G7</f>
        <v>2</v>
      </c>
      <c r="G153">
        <f>AIC!H7</f>
        <v>2</v>
      </c>
      <c r="H153">
        <f>AIC!I7</f>
        <v>3</v>
      </c>
      <c r="I153">
        <f>AIC!J7</f>
        <v>4</v>
      </c>
      <c r="J153">
        <f>AIC!K7</f>
        <v>5</v>
      </c>
      <c r="K153">
        <f>AIC!L7</f>
        <v>5</v>
      </c>
      <c r="L153">
        <f>AIC!M7</f>
        <v>5</v>
      </c>
      <c r="M153">
        <f>AIC!N7</f>
        <v>6</v>
      </c>
      <c r="N153">
        <f>AIC!O7</f>
        <v>11</v>
      </c>
      <c r="O153">
        <f>AIC!P7</f>
        <v>11</v>
      </c>
      <c r="P153">
        <f>AIC!Q7</f>
        <v>11</v>
      </c>
    </row>
    <row r="155" spans="1:16" x14ac:dyDescent="0.2">
      <c r="B155" t="str">
        <f>AIC!C31</f>
        <v>Q1</v>
      </c>
      <c r="C155" t="str">
        <f>AIC!D31</f>
        <v>Q2</v>
      </c>
      <c r="D155" t="str">
        <f>AIC!E31</f>
        <v>Q3</v>
      </c>
      <c r="E155" t="str">
        <f>AIC!F31</f>
        <v>Q4</v>
      </c>
      <c r="F155" t="str">
        <f>AIC!G31</f>
        <v>Q1'27</v>
      </c>
    </row>
    <row r="156" spans="1:16" x14ac:dyDescent="0.2">
      <c r="A156" t="str">
        <f>AIC!B6</f>
        <v>% Plan</v>
      </c>
      <c r="B156">
        <f>AIC!C36*100</f>
        <v>72.070000000000007</v>
      </c>
      <c r="C156">
        <f>AIC!D36*100</f>
        <v>90.03</v>
      </c>
      <c r="D156">
        <f>AIC!E36*100</f>
        <v>79.239999999999995</v>
      </c>
      <c r="E156">
        <f>AIC!F36*100</f>
        <v>71.150000000000006</v>
      </c>
      <c r="F156">
        <f>AIC!G36*100</f>
        <v>44.13</v>
      </c>
    </row>
    <row r="157" spans="1:16" x14ac:dyDescent="0.2">
      <c r="A157" t="str">
        <f>AIC!B7</f>
        <v>Available FTE</v>
      </c>
      <c r="B157">
        <f>AIC!C37</f>
        <v>6</v>
      </c>
      <c r="C157">
        <f>AIC!D37</f>
        <v>2</v>
      </c>
      <c r="D157">
        <f>AIC!E37</f>
        <v>4</v>
      </c>
      <c r="E157">
        <f>AIC!F37</f>
        <v>5</v>
      </c>
      <c r="F157">
        <f>AIC!G37</f>
        <v>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topLeftCell="A21" workbookViewId="0">
      <selection activeCell="H38" sqref="H38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77</v>
      </c>
      <c r="B2" s="7" t="s">
        <v>16</v>
      </c>
      <c r="C2" s="8">
        <v>15</v>
      </c>
      <c r="D2" s="8">
        <v>15</v>
      </c>
      <c r="E2" s="8">
        <v>15</v>
      </c>
      <c r="F2" s="8">
        <v>16</v>
      </c>
      <c r="G2" s="8">
        <v>16</v>
      </c>
      <c r="H2" s="8">
        <v>16</v>
      </c>
      <c r="I2" s="8">
        <v>16</v>
      </c>
      <c r="J2" s="8">
        <v>16</v>
      </c>
      <c r="K2" s="8">
        <v>16</v>
      </c>
      <c r="L2" s="8">
        <v>16</v>
      </c>
      <c r="M2" s="8">
        <v>16</v>
      </c>
      <c r="N2" s="8">
        <v>16</v>
      </c>
      <c r="O2" s="8">
        <v>16</v>
      </c>
      <c r="P2" s="8">
        <v>16</v>
      </c>
      <c r="Q2" s="8">
        <v>16</v>
      </c>
    </row>
    <row r="3" spans="1:17" x14ac:dyDescent="0.2">
      <c r="A3" s="12" t="s">
        <v>77</v>
      </c>
      <c r="B3" s="9" t="s">
        <v>17</v>
      </c>
      <c r="C3" s="8">
        <v>16</v>
      </c>
      <c r="D3" s="8">
        <v>16</v>
      </c>
      <c r="E3" s="8">
        <v>16</v>
      </c>
      <c r="F3" s="8">
        <v>16</v>
      </c>
      <c r="G3" s="8">
        <v>16</v>
      </c>
      <c r="H3" s="8">
        <v>16</v>
      </c>
      <c r="I3" s="8">
        <v>16</v>
      </c>
      <c r="J3" s="8">
        <v>16</v>
      </c>
      <c r="K3" s="8">
        <v>16</v>
      </c>
      <c r="L3" s="8">
        <v>16</v>
      </c>
      <c r="M3" s="8">
        <v>16</v>
      </c>
      <c r="N3" s="8">
        <v>16</v>
      </c>
      <c r="O3" s="8">
        <v>16</v>
      </c>
      <c r="P3" s="8">
        <v>16</v>
      </c>
      <c r="Q3" s="8">
        <v>16</v>
      </c>
    </row>
    <row r="4" spans="1:17" x14ac:dyDescent="0.2">
      <c r="A4" s="13" t="s">
        <v>77</v>
      </c>
      <c r="B4" s="10" t="s">
        <v>18</v>
      </c>
      <c r="C4" s="8">
        <v>15</v>
      </c>
      <c r="D4" s="8">
        <v>15</v>
      </c>
      <c r="E4" s="8">
        <v>15</v>
      </c>
      <c r="F4" s="8">
        <v>16</v>
      </c>
      <c r="G4" s="8">
        <v>16</v>
      </c>
      <c r="H4" s="8">
        <v>16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16</v>
      </c>
      <c r="P4" s="8">
        <v>16</v>
      </c>
      <c r="Q4" s="8">
        <v>16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1</v>
      </c>
      <c r="D6" s="19">
        <v>1</v>
      </c>
      <c r="E6" s="19">
        <v>1</v>
      </c>
      <c r="F6" s="19">
        <v>1</v>
      </c>
      <c r="G6" s="19">
        <v>1</v>
      </c>
      <c r="H6" s="19">
        <v>1</v>
      </c>
      <c r="I6" s="19">
        <v>1</v>
      </c>
      <c r="J6" s="19">
        <v>1</v>
      </c>
      <c r="K6" s="19">
        <v>1</v>
      </c>
      <c r="L6" s="19">
        <v>1</v>
      </c>
      <c r="M6" s="19">
        <v>1</v>
      </c>
      <c r="N6" s="19">
        <v>1</v>
      </c>
      <c r="O6" s="19">
        <v>1</v>
      </c>
      <c r="P6" s="19">
        <v>1</v>
      </c>
      <c r="Q6" s="19">
        <v>1</v>
      </c>
    </row>
    <row r="7" spans="1:17" x14ac:dyDescent="0.2">
      <c r="A7" s="17"/>
      <c r="B7" s="18" t="s">
        <v>24</v>
      </c>
      <c r="C7" s="20">
        <v>0</v>
      </c>
      <c r="D7" s="20">
        <v>0</v>
      </c>
      <c r="E7" s="20">
        <v>0</v>
      </c>
      <c r="F7" s="20">
        <v>0</v>
      </c>
      <c r="G7" s="20">
        <v>0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13</v>
      </c>
      <c r="D9" s="8">
        <v>13</v>
      </c>
      <c r="E9" s="8">
        <v>13</v>
      </c>
      <c r="F9" s="8">
        <v>14</v>
      </c>
      <c r="G9" s="8">
        <v>14</v>
      </c>
      <c r="H9" s="8">
        <v>14</v>
      </c>
      <c r="I9" s="8">
        <v>14</v>
      </c>
      <c r="J9" s="8">
        <v>14</v>
      </c>
      <c r="K9" s="8">
        <v>14</v>
      </c>
      <c r="L9" s="8">
        <v>14</v>
      </c>
      <c r="M9" s="8">
        <v>14</v>
      </c>
      <c r="N9" s="8">
        <v>14</v>
      </c>
      <c r="O9" s="8">
        <v>14</v>
      </c>
      <c r="P9" s="8">
        <v>14</v>
      </c>
      <c r="Q9" s="8">
        <v>14</v>
      </c>
    </row>
    <row r="10" spans="1:17" x14ac:dyDescent="0.2">
      <c r="A10" s="9" t="s">
        <v>17</v>
      </c>
      <c r="B10" s="12" t="s">
        <v>19</v>
      </c>
      <c r="C10" s="8">
        <v>14</v>
      </c>
      <c r="D10" s="8">
        <v>14</v>
      </c>
      <c r="E10" s="8">
        <v>14</v>
      </c>
      <c r="F10" s="8">
        <v>14</v>
      </c>
      <c r="G10" s="8">
        <v>14</v>
      </c>
      <c r="H10" s="8">
        <v>14</v>
      </c>
      <c r="I10" s="8">
        <v>14</v>
      </c>
      <c r="J10" s="8">
        <v>14</v>
      </c>
      <c r="K10" s="8">
        <v>14</v>
      </c>
      <c r="L10" s="8">
        <v>14</v>
      </c>
      <c r="M10" s="8">
        <v>14</v>
      </c>
      <c r="N10" s="8">
        <v>14</v>
      </c>
      <c r="O10" s="8">
        <v>14</v>
      </c>
      <c r="P10" s="8">
        <v>14</v>
      </c>
      <c r="Q10" s="8">
        <v>14</v>
      </c>
    </row>
    <row r="11" spans="1:17" x14ac:dyDescent="0.2">
      <c r="A11" s="16" t="s">
        <v>18</v>
      </c>
      <c r="B11" s="13" t="s">
        <v>19</v>
      </c>
      <c r="C11" s="8">
        <v>13</v>
      </c>
      <c r="D11" s="8">
        <v>13</v>
      </c>
      <c r="E11" s="8">
        <v>13</v>
      </c>
      <c r="F11" s="8">
        <v>14</v>
      </c>
      <c r="G11" s="8">
        <v>14</v>
      </c>
      <c r="H11" s="8">
        <v>14</v>
      </c>
      <c r="I11" s="8">
        <v>14</v>
      </c>
      <c r="J11" s="8">
        <v>14</v>
      </c>
      <c r="K11" s="8">
        <v>14</v>
      </c>
      <c r="L11" s="8">
        <v>14</v>
      </c>
      <c r="M11" s="8">
        <v>14</v>
      </c>
      <c r="N11" s="8">
        <v>14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77</v>
      </c>
      <c r="B32" s="7" t="s">
        <v>16</v>
      </c>
      <c r="C32" s="26">
        <v>15</v>
      </c>
      <c r="D32" s="21">
        <v>16</v>
      </c>
      <c r="E32" s="21">
        <v>16</v>
      </c>
      <c r="F32" s="21">
        <v>16</v>
      </c>
      <c r="G32" s="21">
        <v>16</v>
      </c>
    </row>
    <row r="33" spans="1:7" x14ac:dyDescent="0.2">
      <c r="A33" s="12" t="s">
        <v>77</v>
      </c>
      <c r="B33" s="9" t="s">
        <v>17</v>
      </c>
      <c r="C33" s="26">
        <v>16</v>
      </c>
      <c r="D33" s="21">
        <v>16</v>
      </c>
      <c r="E33" s="21">
        <v>16</v>
      </c>
      <c r="F33" s="21">
        <v>16</v>
      </c>
      <c r="G33" s="21">
        <v>16</v>
      </c>
    </row>
    <row r="34" spans="1:7" x14ac:dyDescent="0.2">
      <c r="A34" s="13" t="s">
        <v>77</v>
      </c>
      <c r="B34" s="10" t="s">
        <v>18</v>
      </c>
      <c r="C34" s="26">
        <v>15</v>
      </c>
      <c r="D34" s="21">
        <v>16</v>
      </c>
      <c r="E34" s="21">
        <v>16</v>
      </c>
      <c r="F34" s="21">
        <v>16</v>
      </c>
      <c r="G34" s="21">
        <v>16</v>
      </c>
    </row>
    <row r="35" spans="1:7" x14ac:dyDescent="0.2">
      <c r="A35" s="17"/>
      <c r="B35" s="8"/>
      <c r="C35" s="27">
        <v>0</v>
      </c>
      <c r="D35" s="28">
        <v>0</v>
      </c>
      <c r="E35" s="28">
        <v>0</v>
      </c>
      <c r="F35" s="28">
        <v>0</v>
      </c>
      <c r="G35" s="28">
        <v>0</v>
      </c>
    </row>
    <row r="36" spans="1:7" x14ac:dyDescent="0.2">
      <c r="A36" s="8"/>
      <c r="B36" s="18" t="s">
        <v>23</v>
      </c>
      <c r="C36" s="29">
        <v>1</v>
      </c>
      <c r="D36" s="19">
        <v>1</v>
      </c>
      <c r="E36" s="19">
        <v>1</v>
      </c>
      <c r="F36" s="19">
        <v>1</v>
      </c>
      <c r="G36" s="19">
        <v>1</v>
      </c>
    </row>
    <row r="37" spans="1:7" x14ac:dyDescent="0.2">
      <c r="A37" s="17"/>
      <c r="B37" s="18" t="s">
        <v>24</v>
      </c>
      <c r="C37" s="30">
        <v>0</v>
      </c>
      <c r="D37" s="20">
        <v>0</v>
      </c>
      <c r="E37" s="20">
        <v>0</v>
      </c>
      <c r="F37" s="20">
        <v>0</v>
      </c>
      <c r="G37" s="20">
        <v>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13</v>
      </c>
      <c r="D39" s="21">
        <v>14</v>
      </c>
      <c r="E39" s="21">
        <v>14</v>
      </c>
      <c r="F39" s="21">
        <v>14</v>
      </c>
      <c r="G39" s="21">
        <v>14</v>
      </c>
    </row>
    <row r="40" spans="1:7" x14ac:dyDescent="0.2">
      <c r="A40" s="9" t="s">
        <v>17</v>
      </c>
      <c r="B40" s="12" t="s">
        <v>19</v>
      </c>
      <c r="C40" s="26">
        <v>14</v>
      </c>
      <c r="D40" s="21">
        <v>14</v>
      </c>
      <c r="E40" s="21">
        <v>14</v>
      </c>
      <c r="F40" s="21">
        <v>14</v>
      </c>
      <c r="G40" s="21">
        <v>14</v>
      </c>
    </row>
    <row r="41" spans="1:7" x14ac:dyDescent="0.2">
      <c r="A41" s="16" t="s">
        <v>18</v>
      </c>
      <c r="B41" s="13" t="s">
        <v>19</v>
      </c>
      <c r="C41" s="26">
        <v>13</v>
      </c>
      <c r="D41" s="21">
        <v>14</v>
      </c>
      <c r="E41" s="21">
        <v>14</v>
      </c>
      <c r="F41" s="21">
        <v>14</v>
      </c>
      <c r="G41" s="21">
        <v>14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15</v>
      </c>
      <c r="D62" s="12">
        <v>15</v>
      </c>
      <c r="E62" s="12">
        <v>15</v>
      </c>
      <c r="F62" s="12">
        <v>16</v>
      </c>
      <c r="G62" s="12">
        <v>16</v>
      </c>
      <c r="H62" s="12">
        <v>16</v>
      </c>
      <c r="I62" s="12">
        <v>16</v>
      </c>
      <c r="J62" s="12">
        <v>16</v>
      </c>
      <c r="K62" s="12">
        <v>16</v>
      </c>
      <c r="L62" s="12">
        <v>16</v>
      </c>
      <c r="M62" s="12">
        <v>16</v>
      </c>
      <c r="N62" s="12">
        <v>16</v>
      </c>
      <c r="O62" s="12">
        <v>16</v>
      </c>
      <c r="P62" s="12">
        <v>16</v>
      </c>
      <c r="Q62" s="12">
        <v>16</v>
      </c>
    </row>
    <row r="63" spans="1:17" x14ac:dyDescent="0.2">
      <c r="A63" s="36"/>
      <c r="B63" s="47" t="s">
        <v>18</v>
      </c>
      <c r="C63" s="48">
        <v>15</v>
      </c>
      <c r="D63" s="48">
        <v>15</v>
      </c>
      <c r="E63" s="48">
        <v>15</v>
      </c>
      <c r="F63" s="48">
        <v>16</v>
      </c>
      <c r="G63" s="48">
        <v>16</v>
      </c>
      <c r="H63" s="48">
        <v>16</v>
      </c>
      <c r="I63" s="48">
        <v>16</v>
      </c>
      <c r="J63" s="48">
        <v>16</v>
      </c>
      <c r="K63" s="48">
        <v>16</v>
      </c>
      <c r="L63" s="48">
        <v>16</v>
      </c>
      <c r="M63" s="48">
        <v>16</v>
      </c>
      <c r="N63" s="48">
        <v>16</v>
      </c>
      <c r="O63" s="48">
        <v>16</v>
      </c>
      <c r="P63" s="48">
        <v>16</v>
      </c>
      <c r="Q63" s="48">
        <v>16</v>
      </c>
    </row>
    <row r="64" spans="1:17" x14ac:dyDescent="0.2">
      <c r="A64" s="49" t="s">
        <v>78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78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79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79</v>
      </c>
      <c r="B67" s="10" t="s">
        <v>18</v>
      </c>
      <c r="C67" s="8">
        <v>4</v>
      </c>
      <c r="D67" s="8">
        <v>4</v>
      </c>
      <c r="E67" s="8">
        <v>4</v>
      </c>
      <c r="F67" s="8">
        <v>4</v>
      </c>
      <c r="G67" s="8">
        <v>4</v>
      </c>
      <c r="H67" s="8">
        <v>4</v>
      </c>
      <c r="I67" s="8">
        <v>4</v>
      </c>
      <c r="J67" s="8">
        <v>4</v>
      </c>
      <c r="K67" s="8">
        <v>4</v>
      </c>
      <c r="L67" s="8">
        <v>4</v>
      </c>
      <c r="M67" s="8">
        <v>4</v>
      </c>
      <c r="N67" s="8">
        <v>4</v>
      </c>
      <c r="O67" s="8">
        <v>4</v>
      </c>
      <c r="P67" s="8">
        <v>4</v>
      </c>
      <c r="Q67" s="8">
        <v>4</v>
      </c>
    </row>
    <row r="68" spans="1:17" x14ac:dyDescent="0.2">
      <c r="A68" s="49" t="s">
        <v>80</v>
      </c>
      <c r="B68" s="50" t="s">
        <v>16</v>
      </c>
      <c r="C68" s="49">
        <v>5</v>
      </c>
      <c r="D68" s="49">
        <v>5</v>
      </c>
      <c r="E68" s="49">
        <v>5</v>
      </c>
      <c r="F68" s="49">
        <v>5</v>
      </c>
      <c r="G68" s="49">
        <v>5</v>
      </c>
      <c r="H68" s="49">
        <v>5</v>
      </c>
      <c r="I68" s="49">
        <v>5</v>
      </c>
      <c r="J68" s="49">
        <v>5</v>
      </c>
      <c r="K68" s="49">
        <v>5</v>
      </c>
      <c r="L68" s="49">
        <v>5</v>
      </c>
      <c r="M68" s="49">
        <v>5</v>
      </c>
      <c r="N68" s="49">
        <v>5</v>
      </c>
      <c r="O68" s="49">
        <v>5</v>
      </c>
      <c r="P68" s="49">
        <v>5</v>
      </c>
      <c r="Q68" s="49">
        <v>5</v>
      </c>
    </row>
    <row r="69" spans="1:17" x14ac:dyDescent="0.2">
      <c r="A69" s="39" t="s">
        <v>80</v>
      </c>
      <c r="B69" s="10" t="s">
        <v>18</v>
      </c>
      <c r="C69" s="8">
        <v>5</v>
      </c>
      <c r="D69" s="8">
        <v>5</v>
      </c>
      <c r="E69" s="8">
        <v>5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  <row r="70" spans="1:17" x14ac:dyDescent="0.2">
      <c r="A70" s="42" t="s">
        <v>81</v>
      </c>
      <c r="B70" s="43" t="s">
        <v>16</v>
      </c>
      <c r="C70" s="51">
        <v>4</v>
      </c>
      <c r="D70" s="51">
        <v>4</v>
      </c>
      <c r="E70" s="51">
        <v>4</v>
      </c>
      <c r="F70" s="51">
        <v>4</v>
      </c>
      <c r="G70" s="51">
        <v>4</v>
      </c>
      <c r="H70" s="51">
        <v>4</v>
      </c>
      <c r="I70" s="51">
        <v>4</v>
      </c>
      <c r="J70" s="51">
        <v>4</v>
      </c>
      <c r="K70" s="51">
        <v>4</v>
      </c>
      <c r="L70" s="51">
        <v>4</v>
      </c>
      <c r="M70" s="51">
        <v>4</v>
      </c>
      <c r="N70" s="51">
        <v>4</v>
      </c>
      <c r="O70" s="51">
        <v>4</v>
      </c>
      <c r="P70" s="51">
        <v>4</v>
      </c>
      <c r="Q70" s="51">
        <v>4</v>
      </c>
    </row>
    <row r="71" spans="1:17" x14ac:dyDescent="0.2">
      <c r="A71" s="44" t="s">
        <v>82</v>
      </c>
      <c r="B71" s="45" t="s">
        <v>18</v>
      </c>
      <c r="C71" s="52">
        <v>4</v>
      </c>
      <c r="D71" s="52">
        <v>4</v>
      </c>
      <c r="E71" s="52">
        <v>4</v>
      </c>
      <c r="F71" s="52">
        <v>4</v>
      </c>
      <c r="G71" s="52">
        <v>4</v>
      </c>
      <c r="H71" s="52">
        <v>4</v>
      </c>
      <c r="I71" s="52">
        <v>4</v>
      </c>
      <c r="J71" s="52">
        <v>4</v>
      </c>
      <c r="K71" s="52">
        <v>4</v>
      </c>
      <c r="L71" s="52">
        <v>4</v>
      </c>
      <c r="M71" s="52">
        <v>4</v>
      </c>
      <c r="N71" s="52">
        <v>4</v>
      </c>
      <c r="O71" s="52">
        <v>4</v>
      </c>
      <c r="P71" s="52">
        <v>4</v>
      </c>
      <c r="Q71" s="52">
        <v>4</v>
      </c>
    </row>
    <row r="72" spans="1:17" x14ac:dyDescent="0.2">
      <c r="A72" s="42" t="s">
        <v>83</v>
      </c>
      <c r="B72" s="43" t="s">
        <v>16</v>
      </c>
      <c r="C72" s="51">
        <v>1</v>
      </c>
      <c r="D72" s="51">
        <v>1</v>
      </c>
      <c r="E72" s="51">
        <v>1</v>
      </c>
      <c r="F72" s="51">
        <v>1</v>
      </c>
      <c r="G72" s="51">
        <v>1</v>
      </c>
      <c r="H72" s="51">
        <v>1</v>
      </c>
      <c r="I72" s="51">
        <v>1</v>
      </c>
      <c r="J72" s="51">
        <v>1</v>
      </c>
      <c r="K72" s="51">
        <v>1</v>
      </c>
      <c r="L72" s="51">
        <v>1</v>
      </c>
      <c r="M72" s="51">
        <v>1</v>
      </c>
      <c r="N72" s="51">
        <v>1</v>
      </c>
      <c r="O72" s="51">
        <v>1</v>
      </c>
      <c r="P72" s="51">
        <v>1</v>
      </c>
      <c r="Q72" s="51">
        <v>1</v>
      </c>
    </row>
    <row r="73" spans="1:17" x14ac:dyDescent="0.2">
      <c r="A73" s="44" t="s">
        <v>84</v>
      </c>
      <c r="B73" s="45" t="s">
        <v>18</v>
      </c>
      <c r="C73" s="52">
        <v>1</v>
      </c>
      <c r="D73" s="52">
        <v>1</v>
      </c>
      <c r="E73" s="52">
        <v>1</v>
      </c>
      <c r="F73" s="52">
        <v>1</v>
      </c>
      <c r="G73" s="52">
        <v>1</v>
      </c>
      <c r="H73" s="52">
        <v>1</v>
      </c>
      <c r="I73" s="52">
        <v>1</v>
      </c>
      <c r="J73" s="52">
        <v>1</v>
      </c>
      <c r="K73" s="52">
        <v>1</v>
      </c>
      <c r="L73" s="52">
        <v>1</v>
      </c>
      <c r="M73" s="52">
        <v>1</v>
      </c>
      <c r="N73" s="52">
        <v>1</v>
      </c>
      <c r="O73" s="52">
        <v>1</v>
      </c>
      <c r="P73" s="52">
        <v>1</v>
      </c>
      <c r="Q73" s="52">
        <v>1</v>
      </c>
    </row>
    <row r="74" spans="1:17" x14ac:dyDescent="0.2">
      <c r="A74" s="49" t="s">
        <v>85</v>
      </c>
      <c r="B74" s="50" t="s">
        <v>16</v>
      </c>
      <c r="C74" s="49">
        <v>3</v>
      </c>
      <c r="D74" s="49">
        <v>3</v>
      </c>
      <c r="E74" s="49">
        <v>3</v>
      </c>
      <c r="F74" s="49">
        <v>3</v>
      </c>
      <c r="G74" s="49">
        <v>3</v>
      </c>
      <c r="H74" s="49">
        <v>3</v>
      </c>
      <c r="I74" s="49">
        <v>3</v>
      </c>
      <c r="J74" s="49">
        <v>3</v>
      </c>
      <c r="K74" s="49">
        <v>3</v>
      </c>
      <c r="L74" s="49">
        <v>3</v>
      </c>
      <c r="M74" s="49">
        <v>3</v>
      </c>
      <c r="N74" s="49">
        <v>3</v>
      </c>
      <c r="O74" s="49">
        <v>3</v>
      </c>
      <c r="P74" s="49">
        <v>3</v>
      </c>
      <c r="Q74" s="49">
        <v>3</v>
      </c>
    </row>
    <row r="75" spans="1:17" x14ac:dyDescent="0.2">
      <c r="A75" s="39" t="s">
        <v>85</v>
      </c>
      <c r="B75" s="10" t="s">
        <v>18</v>
      </c>
      <c r="C75" s="8">
        <v>3</v>
      </c>
      <c r="D75" s="8">
        <v>3</v>
      </c>
      <c r="E75" s="8">
        <v>3</v>
      </c>
      <c r="F75" s="8">
        <v>3</v>
      </c>
      <c r="G75" s="8">
        <v>3</v>
      </c>
      <c r="H75" s="8">
        <v>3</v>
      </c>
      <c r="I75" s="8">
        <v>3</v>
      </c>
      <c r="J75" s="8">
        <v>3</v>
      </c>
      <c r="K75" s="8">
        <v>3</v>
      </c>
      <c r="L75" s="8">
        <v>3</v>
      </c>
      <c r="M75" s="8">
        <v>3</v>
      </c>
      <c r="N75" s="8">
        <v>3</v>
      </c>
      <c r="O75" s="8">
        <v>3</v>
      </c>
      <c r="P75" s="8">
        <v>3</v>
      </c>
      <c r="Q75" s="8">
        <v>3</v>
      </c>
    </row>
    <row r="76" spans="1:17" x14ac:dyDescent="0.2">
      <c r="A76" s="42" t="s">
        <v>86</v>
      </c>
      <c r="B76" s="43" t="s">
        <v>16</v>
      </c>
      <c r="C76" s="51">
        <v>2</v>
      </c>
      <c r="D76" s="51">
        <v>2</v>
      </c>
      <c r="E76" s="51">
        <v>2</v>
      </c>
      <c r="F76" s="51">
        <v>2</v>
      </c>
      <c r="G76" s="51">
        <v>2</v>
      </c>
      <c r="H76" s="51">
        <v>2</v>
      </c>
      <c r="I76" s="51">
        <v>2</v>
      </c>
      <c r="J76" s="51">
        <v>2</v>
      </c>
      <c r="K76" s="51">
        <v>2</v>
      </c>
      <c r="L76" s="51">
        <v>2</v>
      </c>
      <c r="M76" s="51">
        <v>2</v>
      </c>
      <c r="N76" s="51">
        <v>2</v>
      </c>
      <c r="O76" s="51">
        <v>2</v>
      </c>
      <c r="P76" s="51">
        <v>2</v>
      </c>
      <c r="Q76" s="51">
        <v>2</v>
      </c>
    </row>
    <row r="77" spans="1:17" x14ac:dyDescent="0.2">
      <c r="A77" s="44" t="s">
        <v>87</v>
      </c>
      <c r="B77" s="45" t="s">
        <v>18</v>
      </c>
      <c r="C77" s="52">
        <v>2</v>
      </c>
      <c r="D77" s="52">
        <v>2</v>
      </c>
      <c r="E77" s="52">
        <v>2</v>
      </c>
      <c r="F77" s="52">
        <v>2</v>
      </c>
      <c r="G77" s="52">
        <v>2</v>
      </c>
      <c r="H77" s="52">
        <v>2</v>
      </c>
      <c r="I77" s="52">
        <v>2</v>
      </c>
      <c r="J77" s="52">
        <v>2</v>
      </c>
      <c r="K77" s="52">
        <v>2</v>
      </c>
      <c r="L77" s="52">
        <v>2</v>
      </c>
      <c r="M77" s="52">
        <v>2</v>
      </c>
      <c r="N77" s="52">
        <v>2</v>
      </c>
      <c r="O77" s="52">
        <v>2</v>
      </c>
      <c r="P77" s="52">
        <v>2</v>
      </c>
      <c r="Q77" s="52">
        <v>2</v>
      </c>
    </row>
    <row r="78" spans="1:17" x14ac:dyDescent="0.2">
      <c r="A78" s="42" t="s">
        <v>88</v>
      </c>
      <c r="B78" s="43" t="s">
        <v>16</v>
      </c>
      <c r="C78" s="51">
        <v>1</v>
      </c>
      <c r="D78" s="51">
        <v>1</v>
      </c>
      <c r="E78" s="51">
        <v>1</v>
      </c>
      <c r="F78" s="51">
        <v>1</v>
      </c>
      <c r="G78" s="51">
        <v>1</v>
      </c>
      <c r="H78" s="51">
        <v>1</v>
      </c>
      <c r="I78" s="51">
        <v>1</v>
      </c>
      <c r="J78" s="51">
        <v>1</v>
      </c>
      <c r="K78" s="51">
        <v>1</v>
      </c>
      <c r="L78" s="51">
        <v>1</v>
      </c>
      <c r="M78" s="51">
        <v>1</v>
      </c>
      <c r="N78" s="51">
        <v>1</v>
      </c>
      <c r="O78" s="51">
        <v>1</v>
      </c>
      <c r="P78" s="51">
        <v>1</v>
      </c>
      <c r="Q78" s="51">
        <v>1</v>
      </c>
    </row>
    <row r="79" spans="1:17" x14ac:dyDescent="0.2">
      <c r="A79" s="44" t="s">
        <v>89</v>
      </c>
      <c r="B79" s="45" t="s">
        <v>18</v>
      </c>
      <c r="C79" s="52">
        <v>1</v>
      </c>
      <c r="D79" s="52">
        <v>1</v>
      </c>
      <c r="E79" s="52">
        <v>1</v>
      </c>
      <c r="F79" s="52">
        <v>1</v>
      </c>
      <c r="G79" s="52">
        <v>1</v>
      </c>
      <c r="H79" s="52">
        <v>1</v>
      </c>
      <c r="I79" s="52">
        <v>1</v>
      </c>
      <c r="J79" s="52">
        <v>1</v>
      </c>
      <c r="K79" s="52">
        <v>1</v>
      </c>
      <c r="L79" s="52">
        <v>1</v>
      </c>
      <c r="M79" s="52">
        <v>1</v>
      </c>
      <c r="N79" s="52">
        <v>1</v>
      </c>
      <c r="O79" s="52">
        <v>1</v>
      </c>
      <c r="P79" s="52">
        <v>1</v>
      </c>
      <c r="Q79" s="52">
        <v>1</v>
      </c>
    </row>
    <row r="80" spans="1:17" x14ac:dyDescent="0.2">
      <c r="A80" s="49" t="s">
        <v>90</v>
      </c>
      <c r="B80" s="50" t="s">
        <v>16</v>
      </c>
      <c r="C80" s="49">
        <v>2</v>
      </c>
      <c r="D80" s="49">
        <v>2</v>
      </c>
      <c r="E80" s="49">
        <v>2</v>
      </c>
      <c r="F80" s="49">
        <v>3</v>
      </c>
      <c r="G80" s="49">
        <v>3</v>
      </c>
      <c r="H80" s="49">
        <v>3</v>
      </c>
      <c r="I80" s="49">
        <v>3</v>
      </c>
      <c r="J80" s="49">
        <v>3</v>
      </c>
      <c r="K80" s="49">
        <v>3</v>
      </c>
      <c r="L80" s="49">
        <v>3</v>
      </c>
      <c r="M80" s="49">
        <v>3</v>
      </c>
      <c r="N80" s="49">
        <v>3</v>
      </c>
      <c r="O80" s="49">
        <v>3</v>
      </c>
      <c r="P80" s="49">
        <v>3</v>
      </c>
      <c r="Q80" s="49">
        <v>3</v>
      </c>
    </row>
    <row r="81" spans="1:17" x14ac:dyDescent="0.2">
      <c r="A81" s="39" t="s">
        <v>90</v>
      </c>
      <c r="B81" s="10" t="s">
        <v>18</v>
      </c>
      <c r="C81" s="8">
        <v>2</v>
      </c>
      <c r="D81" s="8">
        <v>2</v>
      </c>
      <c r="E81" s="8">
        <v>2</v>
      </c>
      <c r="F81" s="8">
        <v>3</v>
      </c>
      <c r="G81" s="8">
        <v>3</v>
      </c>
      <c r="H81" s="8">
        <v>3</v>
      </c>
      <c r="I81" s="8">
        <v>3</v>
      </c>
      <c r="J81" s="8">
        <v>3</v>
      </c>
      <c r="K81" s="8">
        <v>3</v>
      </c>
      <c r="L81" s="8">
        <v>3</v>
      </c>
      <c r="M81" s="8">
        <v>3</v>
      </c>
      <c r="N81" s="8">
        <v>3</v>
      </c>
      <c r="O81" s="8">
        <v>3</v>
      </c>
      <c r="P81" s="8">
        <v>3</v>
      </c>
      <c r="Q81" s="8">
        <v>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E88" sqref="E88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JAN</v>
      </c>
      <c r="C1" t="str">
        <f>IF(TDE!D1&gt;0,TDE!D1,"")</f>
        <v>FEB</v>
      </c>
      <c r="D1" t="str">
        <f>IF(TDE!E1&gt;0,TDE!E1,"")</f>
        <v>MAR</v>
      </c>
      <c r="E1" t="str">
        <f>IF(TDE!F1&gt;0,TDE!F1,"")</f>
        <v>APR</v>
      </c>
      <c r="F1" t="str">
        <f>IF(TDE!G1&gt;0,TDE!G1,"")</f>
        <v>MAY</v>
      </c>
      <c r="G1" t="str">
        <f>IF(TDE!H1&gt;0,TDE!H1,"")</f>
        <v>JUN</v>
      </c>
      <c r="H1" t="str">
        <f>IF(TDE!I1&gt;0,TDE!I1,"")</f>
        <v>JUL</v>
      </c>
      <c r="I1" t="str">
        <f>IF(TDE!J1&gt;0,TDE!J1,"")</f>
        <v>AUG</v>
      </c>
      <c r="J1" t="str">
        <f>IF(TDE!K1&gt;0,TDE!K1,"")</f>
        <v>SEP</v>
      </c>
      <c r="K1" t="str">
        <f>IF(TDE!L1&gt;0,TDE!L1,"")</f>
        <v>OCT</v>
      </c>
      <c r="L1" t="str">
        <f>IF(TDE!M1&gt;0,TDE!M1,"")</f>
        <v>NOV</v>
      </c>
      <c r="M1" t="str">
        <f>IF(TDE!N1&gt;0,TDE!N1,"")</f>
        <v>DEC</v>
      </c>
      <c r="N1" t="str">
        <f>IF(TDE!O1&gt;0,TDE!O1,"")</f>
        <v>JAN'27</v>
      </c>
      <c r="O1" t="str">
        <f>IF(TDE!P1&gt;0,TDE!P1,"")</f>
        <v>FEB'27</v>
      </c>
      <c r="P1" t="str">
        <f>IF(TDE!Q1&gt;0,TDE!Q1,"")</f>
        <v>MAR'27</v>
      </c>
    </row>
    <row r="2" spans="1:16" x14ac:dyDescent="0.2">
      <c r="A2" t="str">
        <f>IF(TDE!B2&gt;0,TDE!B2,"")</f>
        <v>Staff</v>
      </c>
      <c r="B2">
        <f>IF(TDE!C2&gt;0,TDE!C2,"")</f>
        <v>15</v>
      </c>
      <c r="C2">
        <f>IF(TDE!D2&gt;0,TDE!D2,"")</f>
        <v>15</v>
      </c>
      <c r="D2">
        <f>IF(TDE!E2&gt;0,TDE!E2,"")</f>
        <v>15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16</v>
      </c>
      <c r="I2">
        <f>IF(TDE!J2&gt;0,TDE!J2,"")</f>
        <v>16</v>
      </c>
      <c r="J2">
        <f>IF(TDE!K2&gt;0,TDE!K2,"")</f>
        <v>16</v>
      </c>
      <c r="K2">
        <f>IF(TDE!L2&gt;0,TDE!L2,"")</f>
        <v>16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16</v>
      </c>
      <c r="O3">
        <f>IF(TDE!P3&gt;0,TDE!P3,"")</f>
        <v>16</v>
      </c>
      <c r="P3">
        <f>IF(TDE!Q3&gt;0,TDE!Q3,"")</f>
        <v>16</v>
      </c>
    </row>
    <row r="4" spans="1:16" x14ac:dyDescent="0.2">
      <c r="A4" t="str">
        <f>IF(TDE!B4&gt;0,TDE!B4,"")</f>
        <v>Plan</v>
      </c>
      <c r="B4">
        <f>IF(TDE!C4&gt;0,TDE!C4,"")</f>
        <v>15</v>
      </c>
      <c r="C4">
        <f>IF(TDE!D4&gt;0,TDE!D4,"")</f>
        <v>15</v>
      </c>
      <c r="D4">
        <f>IF(TDE!E4&gt;0,TDE!E4,"")</f>
        <v>15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16</v>
      </c>
      <c r="I4">
        <f>IF(TDE!J4&gt;0,TDE!J4,"")</f>
        <v>16</v>
      </c>
      <c r="J4">
        <f>IF(TDE!K4&gt;0,TDE!K4,"")</f>
        <v>16</v>
      </c>
      <c r="K4">
        <f>IF(TDE!L4&gt;0,TDE!L4,"")</f>
        <v>16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13</v>
      </c>
      <c r="C5">
        <f>IF(TDE!D11&gt;0,TDE!D11,"")</f>
        <v>13</v>
      </c>
      <c r="D5">
        <f>IF(TDE!E11&gt;0,TDE!E11,"")</f>
        <v>13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14</v>
      </c>
      <c r="I5">
        <f>IF(TDE!J11&gt;0,TDE!J11,"")</f>
        <v>14</v>
      </c>
      <c r="J5">
        <f>IF(TDE!K11&gt;0,TDE!K11,"")</f>
        <v>14</v>
      </c>
      <c r="K5">
        <f>IF(TDE!L11&gt;0,TDE!L11,"")</f>
        <v>14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JAN</v>
      </c>
      <c r="C11" t="str">
        <f>IF(TDE!D1&gt;0,TDE!D1,"")</f>
        <v>FEB</v>
      </c>
      <c r="D11" t="str">
        <f>IF(TDE!E1&gt;0,TDE!E1,"")</f>
        <v>MAR</v>
      </c>
      <c r="E11" t="str">
        <f>IF(TDE!F1&gt;0,TDE!F1,"")</f>
        <v>APR</v>
      </c>
      <c r="F11" t="str">
        <f>IF(TDE!G1&gt;0,TDE!G1,"")</f>
        <v>MAY</v>
      </c>
      <c r="G11" t="str">
        <f>IF(TDE!H1&gt;0,TDE!H1,"")</f>
        <v>JUN</v>
      </c>
      <c r="H11" t="str">
        <f>IF(TDE!I1&gt;0,TDE!I1,"")</f>
        <v>JUL</v>
      </c>
      <c r="I11" t="str">
        <f>IF(TDE!J1&gt;0,TDE!J1,"")</f>
        <v>AUG</v>
      </c>
      <c r="J11" t="str">
        <f>IF(TDE!K1&gt;0,TDE!K1,"")</f>
        <v>SEP</v>
      </c>
      <c r="K11" t="str">
        <f>IF(TDE!L1&gt;0,TDE!L1,"")</f>
        <v>OCT</v>
      </c>
      <c r="L11" t="str">
        <f>IF(TDE!M1&gt;0,TDE!M1,"")</f>
        <v>NOV</v>
      </c>
      <c r="M11" t="str">
        <f>IF(TDE!N1&gt;0,TDE!N1,"")</f>
        <v>DEC</v>
      </c>
      <c r="N11" t="str">
        <f>IF(TDE!O1&gt;0,TDE!O1,"")</f>
        <v>JAN'27</v>
      </c>
      <c r="O11" t="str">
        <f>IF(TDE!P1&gt;0,TDE!P1,"")</f>
        <v>FEB'27</v>
      </c>
      <c r="P11" t="str">
        <f>IF(TDE!Q1&gt;0,TDE!Q1,"")</f>
        <v>MAR'27</v>
      </c>
    </row>
    <row r="12" spans="1:16" x14ac:dyDescent="0.2">
      <c r="A12" t="str">
        <f>IF(TDE!B2&gt;0,TDE!B2,"")</f>
        <v>Staff</v>
      </c>
      <c r="B12">
        <f>IF(TDE!C9&gt;0,TDE!C9,"")</f>
        <v>13</v>
      </c>
      <c r="C12">
        <f>IF(TDE!D9&gt;0,TDE!D9,"")</f>
        <v>13</v>
      </c>
      <c r="D12">
        <f>IF(TDE!E9&gt;0,TDE!E9,"")</f>
        <v>13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14</v>
      </c>
      <c r="I12">
        <f>IF(TDE!J9&gt;0,TDE!J9,"")</f>
        <v>14</v>
      </c>
      <c r="J12">
        <f>IF(TDE!K9&gt;0,TDE!K9,"")</f>
        <v>14</v>
      </c>
      <c r="K12">
        <f>IF(TDE!L9&gt;0,TDE!L9,"")</f>
        <v>14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14</v>
      </c>
      <c r="O13">
        <f>IF(TDE!P10&gt;0,TDE!P10,"")</f>
        <v>14</v>
      </c>
      <c r="P13">
        <f>IF(TDE!Q10&gt;0,TDE!Q10,"")</f>
        <v>14</v>
      </c>
    </row>
    <row r="14" spans="1:16" x14ac:dyDescent="0.2">
      <c r="A14" t="str">
        <f>IF(TDE!B4&gt;0,TDE!B4,"")</f>
        <v>Plan</v>
      </c>
      <c r="B14">
        <f>IF(TDE!C11&gt;0,TDE!C11,"")</f>
        <v>13</v>
      </c>
      <c r="C14">
        <f>IF(TDE!D11&gt;0,TDE!D11,"")</f>
        <v>13</v>
      </c>
      <c r="D14">
        <f>IF(TDE!E11&gt;0,TDE!E11,"")</f>
        <v>13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14</v>
      </c>
      <c r="I14">
        <f>IF(TDE!J11&gt;0,TDE!J11,"")</f>
        <v>14</v>
      </c>
      <c r="J14">
        <f>IF(TDE!K11&gt;0,TDE!K11,"")</f>
        <v>14</v>
      </c>
      <c r="K14">
        <f>IF(TDE!L11&gt;0,TDE!L11,"")</f>
        <v>14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JAN</v>
      </c>
      <c r="C21" t="str">
        <f>IF(TDE!D1&gt;0,TDE!D1,"")</f>
        <v>FEB</v>
      </c>
      <c r="D21" t="str">
        <f>IF(TDE!E1&gt;0,TDE!E1,"")</f>
        <v>MAR</v>
      </c>
      <c r="E21" t="str">
        <f>IF(TDE!F1&gt;0,TDE!F1,"")</f>
        <v>APR</v>
      </c>
      <c r="F21" t="str">
        <f>IF(TDE!G1&gt;0,TDE!G1,"")</f>
        <v>MAY</v>
      </c>
      <c r="G21" t="str">
        <f>IF(TDE!H1&gt;0,TDE!H1,"")</f>
        <v>JUN</v>
      </c>
      <c r="H21" t="str">
        <f>IF(TDE!I1&gt;0,TDE!I1,"")</f>
        <v>JUL</v>
      </c>
      <c r="I21" t="str">
        <f>IF(TDE!J1&gt;0,TDE!J1,"")</f>
        <v>AUG</v>
      </c>
      <c r="J21" t="str">
        <f>IF(TDE!K1&gt;0,TDE!K1,"")</f>
        <v>SEP</v>
      </c>
      <c r="K21" t="str">
        <f>IF(TDE!L1&gt;0,TDE!L1,"")</f>
        <v>OCT</v>
      </c>
      <c r="L21" t="str">
        <f>IF(TDE!M1&gt;0,TDE!M1,"")</f>
        <v>NOV</v>
      </c>
      <c r="M21" t="str">
        <f>IF(TDE!N1&gt;0,TDE!N1,"")</f>
        <v>DEC</v>
      </c>
      <c r="N21" t="str">
        <f>IF(TDE!O1&gt;0,TDE!O1,"")</f>
        <v>JAN'27</v>
      </c>
      <c r="O21" t="str">
        <f>IF(TDE!P1&gt;0,TDE!P1,"")</f>
        <v>FEB'27</v>
      </c>
      <c r="P21" t="str">
        <f>IF(TDE!Q1&gt;0,TDE!Q1,"")</f>
        <v>MAR'27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JAN</v>
      </c>
      <c r="C31" t="str">
        <f>IF(TDE!D1&gt;0,TDE!D1,"")</f>
        <v>FEB</v>
      </c>
      <c r="D31" t="str">
        <f>IF(TDE!E1&gt;0,TDE!E1,"")</f>
        <v>MAR</v>
      </c>
      <c r="E31" t="str">
        <f>IF(TDE!F1&gt;0,TDE!F1,"")</f>
        <v>APR</v>
      </c>
      <c r="F31" t="str">
        <f>IF(TDE!G1&gt;0,TDE!G1,"")</f>
        <v>MAY</v>
      </c>
      <c r="G31" t="str">
        <f>IF(TDE!H1&gt;0,TDE!H1,"")</f>
        <v>JUN</v>
      </c>
      <c r="H31" t="str">
        <f>IF(TDE!I1&gt;0,TDE!I1,"")</f>
        <v>JUL</v>
      </c>
      <c r="I31" t="str">
        <f>IF(TDE!J1&gt;0,TDE!J1,"")</f>
        <v>AUG</v>
      </c>
      <c r="J31" t="str">
        <f>IF(TDE!K1&gt;0,TDE!K1,"")</f>
        <v>SEP</v>
      </c>
      <c r="K31" t="str">
        <f>IF(TDE!L1&gt;0,TDE!L1,"")</f>
        <v>OCT</v>
      </c>
      <c r="L31" t="str">
        <f>IF(TDE!M1&gt;0,TDE!M1,"")</f>
        <v>NOV</v>
      </c>
      <c r="M31" t="str">
        <f>IF(TDE!N1&gt;0,TDE!N1,"")</f>
        <v>DEC</v>
      </c>
      <c r="N31" t="str">
        <f>IF(TDE!O1&gt;0,TDE!O1,"")</f>
        <v>JAN'27</v>
      </c>
      <c r="O31" t="str">
        <f>IF(TDE!P1&gt;0,TDE!P1,"")</f>
        <v>FEB'27</v>
      </c>
      <c r="P31" t="str">
        <f>IF(TDE!Q1&gt;0,TDE!Q1,"")</f>
        <v>MAR'27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Q1</v>
      </c>
      <c r="C41" t="str">
        <f>IF(TDE!D31&gt;0,TDE!D31,"")</f>
        <v>Q2</v>
      </c>
      <c r="D41" t="str">
        <f>IF(TDE!E31&gt;0,TDE!E31,"")</f>
        <v>Q3</v>
      </c>
      <c r="E41" t="str">
        <f>IF(TDE!F31&gt;0,TDE!F31,"")</f>
        <v>Q4</v>
      </c>
      <c r="F41" t="str">
        <f>IF(TDE!G31&gt;0,TDE!G31,"")</f>
        <v>Q1'27</v>
      </c>
    </row>
    <row r="42" spans="1:16" x14ac:dyDescent="0.2">
      <c r="A42" t="str">
        <f>IF(TDE!B32&gt;0,TDE!B32,"")</f>
        <v>Staff</v>
      </c>
      <c r="B42">
        <f>IF(TDE!C32&gt;0,TDE!C32,"")</f>
        <v>15</v>
      </c>
      <c r="C42">
        <f>IF(TDE!D32&gt;0,TDE!D32,"")</f>
        <v>16</v>
      </c>
      <c r="D42">
        <f>IF(TDE!E32&gt;0,TDE!E32,"")</f>
        <v>16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15</v>
      </c>
      <c r="C44">
        <f>IF(TDE!D34&gt;0,TDE!D34,"")</f>
        <v>16</v>
      </c>
      <c r="D44">
        <f>IF(TDE!E34&gt;0,TDE!E34,"")</f>
        <v>16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13</v>
      </c>
      <c r="C45">
        <f>IF(TDE!D41&gt;0,TDE!D41,"")</f>
        <v>14</v>
      </c>
      <c r="D45">
        <f>IF(TDE!E41&gt;0,TDE!E41,"")</f>
        <v>14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8" t="str">
        <f>TDE!A66</f>
        <v>Financial Management</v>
      </c>
      <c r="B51" t="str">
        <f>TDE!C$61</f>
        <v>JAN</v>
      </c>
      <c r="C51" t="str">
        <f>TDE!D$61</f>
        <v>FEB</v>
      </c>
      <c r="D51" t="str">
        <f>TDE!E$61</f>
        <v>MAR</v>
      </c>
      <c r="E51" t="str">
        <f>TDE!F$61</f>
        <v>APR</v>
      </c>
      <c r="F51" t="str">
        <f>TDE!G$61</f>
        <v>MAY</v>
      </c>
      <c r="G51" t="str">
        <f>TDE!H$61</f>
        <v>JUN</v>
      </c>
      <c r="H51" t="str">
        <f>TDE!I$61</f>
        <v>JUL</v>
      </c>
      <c r="I51" t="str">
        <f>TDE!J$61</f>
        <v>AUG</v>
      </c>
      <c r="J51" t="str">
        <f>TDE!K$61</f>
        <v>SEP</v>
      </c>
      <c r="K51" t="str">
        <f>TDE!L$61</f>
        <v>OCT</v>
      </c>
      <c r="L51" t="str">
        <f>TDE!M$61</f>
        <v>NOV</v>
      </c>
      <c r="M51" t="str">
        <f>TDE!N$61</f>
        <v>DEC</v>
      </c>
      <c r="N51" t="str">
        <f>TDE!O$61</f>
        <v>JAN'27</v>
      </c>
      <c r="O51" t="str">
        <f>TDE!P$61</f>
        <v>FEB'27</v>
      </c>
      <c r="P51" t="str">
        <f>TDE!Q$61</f>
        <v>MAR'27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6" customFormat="1" x14ac:dyDescent="0.2">
      <c r="A54" s="66" t="s">
        <v>24</v>
      </c>
      <c r="B54" s="67">
        <f>B52-B53</f>
        <v>0</v>
      </c>
      <c r="C54" s="67">
        <f t="shared" ref="C54:P54" si="0">C52-C53</f>
        <v>0</v>
      </c>
      <c r="D54" s="67">
        <f t="shared" si="0"/>
        <v>0</v>
      </c>
      <c r="E54" s="67">
        <f t="shared" si="0"/>
        <v>0</v>
      </c>
      <c r="F54" s="67">
        <f t="shared" si="0"/>
        <v>0</v>
      </c>
      <c r="G54" s="67">
        <f t="shared" si="0"/>
        <v>0</v>
      </c>
      <c r="H54" s="67">
        <f t="shared" si="0"/>
        <v>0</v>
      </c>
      <c r="I54" s="67">
        <f t="shared" si="0"/>
        <v>0</v>
      </c>
      <c r="J54" s="67">
        <f t="shared" si="0"/>
        <v>0</v>
      </c>
      <c r="K54" s="67">
        <f t="shared" si="0"/>
        <v>0</v>
      </c>
      <c r="L54" s="67">
        <f t="shared" si="0"/>
        <v>0</v>
      </c>
      <c r="M54" s="67">
        <f t="shared" si="0"/>
        <v>0</v>
      </c>
      <c r="N54" s="67">
        <f t="shared" si="0"/>
        <v>0</v>
      </c>
      <c r="O54" s="67">
        <f t="shared" si="0"/>
        <v>0</v>
      </c>
      <c r="P54" s="67">
        <f t="shared" si="0"/>
        <v>0</v>
      </c>
    </row>
    <row r="55" spans="1:16" s="59" customFormat="1" x14ac:dyDescent="0.2">
      <c r="B55" s="59" t="str">
        <f>B$155</f>
        <v>Q1</v>
      </c>
      <c r="C55" s="59" t="str">
        <f t="shared" ref="C55:F55" si="1">C$155</f>
        <v>Q2</v>
      </c>
      <c r="D55" s="59" t="str">
        <f t="shared" si="1"/>
        <v>Q3</v>
      </c>
      <c r="E55" s="59" t="str">
        <f t="shared" si="1"/>
        <v>Q4</v>
      </c>
      <c r="F55" s="59" t="str">
        <f t="shared" si="1"/>
        <v>Q1'27</v>
      </c>
    </row>
    <row r="56" spans="1:16" s="59" customFormat="1" x14ac:dyDescent="0.2">
      <c r="A56" s="59" t="str">
        <f>$A$156</f>
        <v>% Plan</v>
      </c>
      <c r="B56" s="59">
        <f>(AVERAGE(B53:D53)/AVERAGE(B52:D52))*100</f>
        <v>100</v>
      </c>
      <c r="C56" s="59">
        <f>(AVERAGE(E53:G53)/AVERAGE(E52:G52))*100</f>
        <v>100</v>
      </c>
      <c r="D56" s="59">
        <f>(AVERAGE(H53:J53)/AVERAGE(H52:J52))*100</f>
        <v>100</v>
      </c>
      <c r="E56" s="59">
        <f>(AVERAGE(K53:M53)/AVERAGE(K52:M52))*100</f>
        <v>100</v>
      </c>
      <c r="F56" s="59">
        <f>(AVERAGE(N53:P53)/AVERAGE(N52:P52))*100</f>
        <v>100</v>
      </c>
    </row>
    <row r="61" spans="1:16" x14ac:dyDescent="0.2">
      <c r="A61" s="58" t="str">
        <f>TDE!A68</f>
        <v>Resource Management</v>
      </c>
      <c r="B61" t="str">
        <f>TDE!C$61</f>
        <v>JAN</v>
      </c>
      <c r="C61" t="str">
        <f>TDE!D$61</f>
        <v>FEB</v>
      </c>
      <c r="D61" t="str">
        <f>TDE!E$61</f>
        <v>MAR</v>
      </c>
      <c r="E61" t="str">
        <f>TDE!F$61</f>
        <v>APR</v>
      </c>
      <c r="F61" t="str">
        <f>TDE!G$61</f>
        <v>MAY</v>
      </c>
      <c r="G61" t="str">
        <f>TDE!H$61</f>
        <v>JUN</v>
      </c>
      <c r="H61" t="str">
        <f>TDE!I$61</f>
        <v>JUL</v>
      </c>
      <c r="I61" t="str">
        <f>TDE!J$61</f>
        <v>AUG</v>
      </c>
      <c r="J61" t="str">
        <f>TDE!K$61</f>
        <v>SEP</v>
      </c>
      <c r="K61" t="str">
        <f>TDE!L$61</f>
        <v>OCT</v>
      </c>
      <c r="L61" t="str">
        <f>TDE!M$61</f>
        <v>NOV</v>
      </c>
      <c r="M61" t="str">
        <f>TDE!N$61</f>
        <v>DEC</v>
      </c>
      <c r="N61" t="str">
        <f>TDE!O$61</f>
        <v>JAN'27</v>
      </c>
      <c r="O61" t="str">
        <f>TDE!P$61</f>
        <v>FEB'27</v>
      </c>
      <c r="P61" t="str">
        <f>TDE!Q$61</f>
        <v>MAR'27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6" customFormat="1" x14ac:dyDescent="0.2">
      <c r="A64" s="66" t="s">
        <v>24</v>
      </c>
      <c r="B64" s="67">
        <f>B62-B63</f>
        <v>0</v>
      </c>
      <c r="C64" s="67">
        <f t="shared" ref="C64:P64" si="2">C62-C63</f>
        <v>0</v>
      </c>
      <c r="D64" s="67">
        <f t="shared" si="2"/>
        <v>0</v>
      </c>
      <c r="E64" s="67">
        <f t="shared" si="2"/>
        <v>0</v>
      </c>
      <c r="F64" s="67">
        <f t="shared" si="2"/>
        <v>0</v>
      </c>
      <c r="G64" s="67">
        <f t="shared" si="2"/>
        <v>0</v>
      </c>
      <c r="H64" s="67">
        <f t="shared" si="2"/>
        <v>0</v>
      </c>
      <c r="I64" s="67">
        <f t="shared" si="2"/>
        <v>0</v>
      </c>
      <c r="J64" s="67">
        <f t="shared" si="2"/>
        <v>0</v>
      </c>
      <c r="K64" s="67">
        <f t="shared" si="2"/>
        <v>0</v>
      </c>
      <c r="L64" s="67">
        <f t="shared" si="2"/>
        <v>0</v>
      </c>
      <c r="M64" s="67">
        <f t="shared" si="2"/>
        <v>0</v>
      </c>
      <c r="N64" s="67">
        <f t="shared" si="2"/>
        <v>0</v>
      </c>
      <c r="O64" s="67">
        <f t="shared" si="2"/>
        <v>0</v>
      </c>
      <c r="P64" s="67">
        <f t="shared" si="2"/>
        <v>0</v>
      </c>
    </row>
    <row r="65" spans="1:16" s="59" customFormat="1" x14ac:dyDescent="0.2">
      <c r="B65" s="59" t="str">
        <f>B$155</f>
        <v>Q1</v>
      </c>
      <c r="C65" s="59" t="str">
        <f t="shared" ref="C65:F65" si="3">C$155</f>
        <v>Q2</v>
      </c>
      <c r="D65" s="59" t="str">
        <f t="shared" si="3"/>
        <v>Q3</v>
      </c>
      <c r="E65" s="59" t="str">
        <f t="shared" si="3"/>
        <v>Q4</v>
      </c>
      <c r="F65" s="59" t="str">
        <f t="shared" si="3"/>
        <v>Q1'27</v>
      </c>
    </row>
    <row r="66" spans="1:16" s="59" customFormat="1" x14ac:dyDescent="0.2">
      <c r="A66" s="59" t="str">
        <f>$A$156</f>
        <v>% Plan</v>
      </c>
      <c r="B66" s="59">
        <f>(AVERAGE(B63:D63)/AVERAGE(B62:D62))*100</f>
        <v>100</v>
      </c>
      <c r="C66" s="59">
        <f>(AVERAGE(E63:G63)/AVERAGE(E62:G62))*100</f>
        <v>100</v>
      </c>
      <c r="D66" s="59">
        <f>(AVERAGE(H63:J63)/AVERAGE(H62:J62))*100</f>
        <v>100</v>
      </c>
      <c r="E66" s="59">
        <f>(AVERAGE(K63:M63)/AVERAGE(K62:M62))*100</f>
        <v>100</v>
      </c>
      <c r="F66" s="59">
        <f>(AVERAGE(N63:P63)/AVERAGE(N62:P62))*100</f>
        <v>100</v>
      </c>
    </row>
    <row r="71" spans="1:16" x14ac:dyDescent="0.2">
      <c r="A71" s="58" t="str">
        <f>TDE!A74</f>
        <v>Talent Experience &amp; Development</v>
      </c>
      <c r="B71" t="str">
        <f>TDE!C$61</f>
        <v>JAN</v>
      </c>
      <c r="C71" t="str">
        <f>TDE!D$61</f>
        <v>FEB</v>
      </c>
      <c r="D71" t="str">
        <f>TDE!E$61</f>
        <v>MAR</v>
      </c>
      <c r="E71" t="str">
        <f>TDE!F$61</f>
        <v>APR</v>
      </c>
      <c r="F71" t="str">
        <f>TDE!G$61</f>
        <v>MAY</v>
      </c>
      <c r="G71" t="str">
        <f>TDE!H$61</f>
        <v>JUN</v>
      </c>
      <c r="H71" t="str">
        <f>TDE!I$61</f>
        <v>JUL</v>
      </c>
      <c r="I71" t="str">
        <f>TDE!J$61</f>
        <v>AUG</v>
      </c>
      <c r="J71" t="str">
        <f>TDE!K$61</f>
        <v>SEP</v>
      </c>
      <c r="K71" t="str">
        <f>TDE!L$61</f>
        <v>OCT</v>
      </c>
      <c r="L71" t="str">
        <f>TDE!M$61</f>
        <v>NOV</v>
      </c>
      <c r="M71" t="str">
        <f>TDE!N$61</f>
        <v>DEC</v>
      </c>
      <c r="N71" t="str">
        <f>TDE!O$61</f>
        <v>JAN'27</v>
      </c>
      <c r="O71" t="str">
        <f>TDE!P$61</f>
        <v>FEB'27</v>
      </c>
      <c r="P71" t="str">
        <f>TDE!Q$61</f>
        <v>MAR'27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6" customFormat="1" x14ac:dyDescent="0.2">
      <c r="A74" s="66" t="s">
        <v>24</v>
      </c>
      <c r="B74" s="67">
        <f>B72-B73</f>
        <v>0</v>
      </c>
      <c r="C74" s="67">
        <f t="shared" ref="C74:P74" si="4">C72-C73</f>
        <v>0</v>
      </c>
      <c r="D74" s="67">
        <f t="shared" si="4"/>
        <v>0</v>
      </c>
      <c r="E74" s="67">
        <f t="shared" si="4"/>
        <v>0</v>
      </c>
      <c r="F74" s="67">
        <f t="shared" si="4"/>
        <v>0</v>
      </c>
      <c r="G74" s="67">
        <f t="shared" si="4"/>
        <v>0</v>
      </c>
      <c r="H74" s="67">
        <f t="shared" si="4"/>
        <v>0</v>
      </c>
      <c r="I74" s="67">
        <f t="shared" si="4"/>
        <v>0</v>
      </c>
      <c r="J74" s="67">
        <f t="shared" si="4"/>
        <v>0</v>
      </c>
      <c r="K74" s="67">
        <f t="shared" si="4"/>
        <v>0</v>
      </c>
      <c r="L74" s="67">
        <f t="shared" si="4"/>
        <v>0</v>
      </c>
      <c r="M74" s="67">
        <f t="shared" si="4"/>
        <v>0</v>
      </c>
      <c r="N74" s="67">
        <f t="shared" si="4"/>
        <v>0</v>
      </c>
      <c r="O74" s="67">
        <f t="shared" si="4"/>
        <v>0</v>
      </c>
      <c r="P74" s="67">
        <f t="shared" si="4"/>
        <v>0</v>
      </c>
    </row>
    <row r="75" spans="1:16" s="59" customFormat="1" x14ac:dyDescent="0.2">
      <c r="B75" s="59" t="str">
        <f>B$155</f>
        <v>Q1</v>
      </c>
      <c r="C75" s="59" t="str">
        <f t="shared" ref="C75:F75" si="5">C$155</f>
        <v>Q2</v>
      </c>
      <c r="D75" s="59" t="str">
        <f t="shared" si="5"/>
        <v>Q3</v>
      </c>
      <c r="E75" s="59" t="str">
        <f t="shared" si="5"/>
        <v>Q4</v>
      </c>
      <c r="F75" s="59" t="str">
        <f t="shared" si="5"/>
        <v>Q1'27</v>
      </c>
    </row>
    <row r="76" spans="1:16" s="59" customFormat="1" x14ac:dyDescent="0.2">
      <c r="A76" s="59" t="str">
        <f>$A$156</f>
        <v>% Plan</v>
      </c>
      <c r="B76" s="59">
        <f>(AVERAGE(B73:D73)/AVERAGE(B72:D72))*100</f>
        <v>100</v>
      </c>
      <c r="C76" s="59">
        <f>(AVERAGE(E73:G73)/AVERAGE(E72:G72))*100</f>
        <v>100</v>
      </c>
      <c r="D76" s="59">
        <f>(AVERAGE(H73:J73)/AVERAGE(H72:J72))*100</f>
        <v>100</v>
      </c>
      <c r="E76" s="59">
        <f>(AVERAGE(K73:M73)/AVERAGE(K72:M72))*100</f>
        <v>100</v>
      </c>
      <c r="F76" s="59">
        <f>(AVERAGE(N73:P73)/AVERAGE(N72:P72))*100</f>
        <v>100</v>
      </c>
    </row>
    <row r="81" spans="1:16" x14ac:dyDescent="0.2">
      <c r="A81" s="58" t="str">
        <f>TDE!A80</f>
        <v>Center of Excellences</v>
      </c>
      <c r="B81" t="str">
        <f>TDE!C$61</f>
        <v>JAN</v>
      </c>
      <c r="C81" t="str">
        <f>TDE!D$61</f>
        <v>FEB</v>
      </c>
      <c r="D81" t="str">
        <f>TDE!E$61</f>
        <v>MAR</v>
      </c>
      <c r="E81" t="str">
        <f>TDE!F$61</f>
        <v>APR</v>
      </c>
      <c r="F81" t="str">
        <f>TDE!G$61</f>
        <v>MAY</v>
      </c>
      <c r="G81" t="str">
        <f>TDE!H$61</f>
        <v>JUN</v>
      </c>
      <c r="H81" t="str">
        <f>TDE!I$61</f>
        <v>JUL</v>
      </c>
      <c r="I81" t="str">
        <f>TDE!J$61</f>
        <v>AUG</v>
      </c>
      <c r="J81" t="str">
        <f>TDE!K$61</f>
        <v>SEP</v>
      </c>
      <c r="K81" t="str">
        <f>TDE!L$61</f>
        <v>OCT</v>
      </c>
      <c r="L81" t="str">
        <f>TDE!M$61</f>
        <v>NOV</v>
      </c>
      <c r="M81" t="str">
        <f>TDE!N$61</f>
        <v>DEC</v>
      </c>
      <c r="N81" t="str">
        <f>TDE!O$61</f>
        <v>JAN'27</v>
      </c>
      <c r="O81" t="str">
        <f>TDE!P$61</f>
        <v>FEB'27</v>
      </c>
      <c r="P81" t="str">
        <f>TDE!Q$61</f>
        <v>MAR'27</v>
      </c>
    </row>
    <row r="82" spans="1:16" x14ac:dyDescent="0.2">
      <c r="A82" t="str">
        <f>TDE!B80</f>
        <v>Staff</v>
      </c>
      <c r="B82">
        <f>TDE!C80</f>
        <v>2</v>
      </c>
      <c r="C82">
        <f>TDE!D80</f>
        <v>2</v>
      </c>
      <c r="D82">
        <f>TDE!E80</f>
        <v>2</v>
      </c>
      <c r="E82">
        <f>TDE!F80</f>
        <v>3</v>
      </c>
      <c r="F82">
        <f>TDE!G80</f>
        <v>3</v>
      </c>
      <c r="G82">
        <f>TDE!H80</f>
        <v>3</v>
      </c>
      <c r="H82">
        <f>TDE!I80</f>
        <v>3</v>
      </c>
      <c r="I82">
        <f>TDE!J80</f>
        <v>3</v>
      </c>
      <c r="J82">
        <f>TDE!K80</f>
        <v>3</v>
      </c>
      <c r="K82">
        <f>TDE!L80</f>
        <v>3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2</v>
      </c>
      <c r="C83">
        <f>TDE!D81</f>
        <v>2</v>
      </c>
      <c r="D83">
        <f>TDE!E81</f>
        <v>2</v>
      </c>
      <c r="E83">
        <f>TDE!F81</f>
        <v>3</v>
      </c>
      <c r="F83">
        <f>TDE!G81</f>
        <v>3</v>
      </c>
      <c r="G83">
        <f>TDE!H81</f>
        <v>3</v>
      </c>
      <c r="H83">
        <f>TDE!I81</f>
        <v>3</v>
      </c>
      <c r="I83">
        <f>TDE!J81</f>
        <v>3</v>
      </c>
      <c r="J83">
        <f>TDE!K81</f>
        <v>3</v>
      </c>
      <c r="K83">
        <f>TDE!L81</f>
        <v>3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6" customFormat="1" x14ac:dyDescent="0.2">
      <c r="A84" s="66" t="s">
        <v>24</v>
      </c>
      <c r="B84" s="67">
        <f>B82-B83</f>
        <v>0</v>
      </c>
      <c r="C84" s="67">
        <f t="shared" ref="C84:P84" si="6">C82-C83</f>
        <v>0</v>
      </c>
      <c r="D84" s="67">
        <f t="shared" si="6"/>
        <v>0</v>
      </c>
      <c r="E84" s="67">
        <f t="shared" si="6"/>
        <v>0</v>
      </c>
      <c r="F84" s="67">
        <f t="shared" si="6"/>
        <v>0</v>
      </c>
      <c r="G84" s="67">
        <f t="shared" si="6"/>
        <v>0</v>
      </c>
      <c r="H84" s="67">
        <f t="shared" si="6"/>
        <v>0</v>
      </c>
      <c r="I84" s="67">
        <f t="shared" si="6"/>
        <v>0</v>
      </c>
      <c r="J84" s="67">
        <f t="shared" si="6"/>
        <v>0</v>
      </c>
      <c r="K84" s="67">
        <f t="shared" si="6"/>
        <v>0</v>
      </c>
      <c r="L84" s="67">
        <f t="shared" si="6"/>
        <v>0</v>
      </c>
      <c r="M84" s="67">
        <f t="shared" si="6"/>
        <v>0</v>
      </c>
      <c r="N84" s="67">
        <f t="shared" si="6"/>
        <v>0</v>
      </c>
      <c r="O84" s="67">
        <f t="shared" si="6"/>
        <v>0</v>
      </c>
      <c r="P84" s="67">
        <f t="shared" si="6"/>
        <v>0</v>
      </c>
    </row>
    <row r="85" spans="1:16" s="59" customFormat="1" x14ac:dyDescent="0.2">
      <c r="B85" s="59" t="str">
        <f>B$155</f>
        <v>Q1</v>
      </c>
      <c r="C85" s="59" t="str">
        <f t="shared" ref="C85:F85" si="7">C$155</f>
        <v>Q2</v>
      </c>
      <c r="D85" s="59" t="str">
        <f t="shared" si="7"/>
        <v>Q3</v>
      </c>
      <c r="E85" s="59" t="str">
        <f t="shared" si="7"/>
        <v>Q4</v>
      </c>
      <c r="F85" s="59" t="str">
        <f t="shared" si="7"/>
        <v>Q1'27</v>
      </c>
    </row>
    <row r="86" spans="1:16" s="59" customFormat="1" x14ac:dyDescent="0.2">
      <c r="A86" s="59" t="str">
        <f>$A$156</f>
        <v>% Plan</v>
      </c>
      <c r="B86" s="59">
        <f>(AVERAGE(B83:D83)/AVERAGE(B82:D82))*100</f>
        <v>100</v>
      </c>
      <c r="C86" s="59">
        <f>(AVERAGE(E83:G83)/AVERAGE(E82:G82))*100</f>
        <v>100</v>
      </c>
      <c r="D86" s="59">
        <f>(AVERAGE(H83:J83)/AVERAGE(H82:J82))*100</f>
        <v>100</v>
      </c>
      <c r="E86" s="59">
        <f>(AVERAGE(K83:M83)/AVERAGE(K82:M82))*100</f>
        <v>100</v>
      </c>
      <c r="F86" s="59">
        <f>(AVERAGE(N83:P83)/AVERAGE(N82:P82))*100</f>
        <v>100</v>
      </c>
    </row>
    <row r="151" spans="1:16" x14ac:dyDescent="0.2">
      <c r="B151" t="str">
        <f>TDE!C1</f>
        <v>JAN</v>
      </c>
      <c r="C151" t="str">
        <f>TDE!D1</f>
        <v>FEB</v>
      </c>
      <c r="D151" t="str">
        <f>TDE!E1</f>
        <v>MAR</v>
      </c>
      <c r="E151" t="str">
        <f>TDE!F1</f>
        <v>APR</v>
      </c>
      <c r="F151" t="str">
        <f>TDE!G1</f>
        <v>MAY</v>
      </c>
      <c r="G151" t="str">
        <f>TDE!H1</f>
        <v>JUN</v>
      </c>
      <c r="H151" t="str">
        <f>TDE!I1</f>
        <v>JUL</v>
      </c>
      <c r="I151" t="str">
        <f>TDE!J1</f>
        <v>AUG</v>
      </c>
      <c r="J151" t="str">
        <f>TDE!K1</f>
        <v>SEP</v>
      </c>
      <c r="K151" t="str">
        <f>TDE!L1</f>
        <v>OCT</v>
      </c>
      <c r="L151" t="str">
        <f>TDE!M1</f>
        <v>NOV</v>
      </c>
      <c r="M151" t="str">
        <f>TDE!N1</f>
        <v>DEC</v>
      </c>
      <c r="N151" t="str">
        <f>TDE!O1</f>
        <v>JAN'27</v>
      </c>
      <c r="O151" t="str">
        <f>TDE!P1</f>
        <v>FEB'27</v>
      </c>
      <c r="P151" t="str">
        <f>TDE!Q1</f>
        <v>MAR'27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Q1</v>
      </c>
      <c r="C155" t="str">
        <f>TDE!D31</f>
        <v>Q2</v>
      </c>
      <c r="D155" t="str">
        <f>TDE!E31</f>
        <v>Q3</v>
      </c>
      <c r="E155" t="str">
        <f>TDE!F31</f>
        <v>Q4</v>
      </c>
      <c r="F155" t="str">
        <f>TDE!G31</f>
        <v>Q1'27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36"/>
  <sheetViews>
    <sheetView workbookViewId="0">
      <pane ySplit="1" topLeftCell="A17" activePane="bottomLeft" state="frozen"/>
      <selection pane="bottomLeft" activeCell="C39" sqref="C39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5" t="s">
        <v>122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14</v>
      </c>
      <c r="P1" s="55" t="s">
        <v>15</v>
      </c>
      <c r="Q1" s="54"/>
      <c r="R1" s="54"/>
      <c r="S1" s="54"/>
      <c r="T1" s="54"/>
      <c r="U1" s="54"/>
      <c r="V1" s="54"/>
    </row>
    <row r="2" spans="1:22" x14ac:dyDescent="0.2">
      <c r="A2" s="8" t="s">
        <v>123</v>
      </c>
      <c r="B2" s="8">
        <v>2.46</v>
      </c>
      <c r="C2" s="8">
        <v>2.4649999999999999</v>
      </c>
      <c r="D2" s="8">
        <v>2.4649999999999999</v>
      </c>
      <c r="E2" s="8">
        <v>1.95</v>
      </c>
      <c r="F2" s="8">
        <v>2.2999999999999998</v>
      </c>
      <c r="G2" s="8">
        <v>3.2</v>
      </c>
      <c r="H2" s="8">
        <v>2.9</v>
      </c>
      <c r="I2" s="8">
        <v>2.7749999999999999</v>
      </c>
      <c r="J2" s="8">
        <v>2.7749999999999999</v>
      </c>
      <c r="K2" s="8">
        <v>2.6124999999999998</v>
      </c>
      <c r="L2" s="8">
        <v>2.6124999999999998</v>
      </c>
      <c r="M2" s="8">
        <v>2.6124999999999998</v>
      </c>
      <c r="N2" s="8">
        <v>0.80249999999999999</v>
      </c>
      <c r="O2" s="8">
        <v>0.80249999999999999</v>
      </c>
      <c r="P2" s="8">
        <v>0.80249999999999999</v>
      </c>
      <c r="Q2" s="8"/>
      <c r="R2" s="8"/>
      <c r="S2" s="56"/>
      <c r="T2" s="8"/>
      <c r="U2" s="8"/>
      <c r="V2" s="56"/>
    </row>
    <row r="3" spans="1:22" x14ac:dyDescent="0.2">
      <c r="A3" s="8" t="s">
        <v>124</v>
      </c>
      <c r="B3" s="8">
        <v>3.37</v>
      </c>
      <c r="C3" s="8">
        <v>2.77</v>
      </c>
      <c r="D3" s="8">
        <v>2.59</v>
      </c>
      <c r="E3" s="8">
        <v>2.08</v>
      </c>
      <c r="F3" s="8">
        <v>2.13</v>
      </c>
      <c r="G3" s="8">
        <v>1.75</v>
      </c>
      <c r="H3" s="8">
        <v>2</v>
      </c>
      <c r="I3" s="8">
        <v>2</v>
      </c>
      <c r="J3" s="8">
        <v>2</v>
      </c>
      <c r="K3" s="8">
        <v>2</v>
      </c>
      <c r="L3" s="8">
        <v>2</v>
      </c>
      <c r="M3" s="8">
        <v>2</v>
      </c>
      <c r="N3" s="8">
        <v>1.55</v>
      </c>
      <c r="O3" s="8">
        <v>1.55</v>
      </c>
      <c r="P3" s="8">
        <v>1.55</v>
      </c>
      <c r="Q3" s="8"/>
      <c r="R3" s="8"/>
      <c r="S3" s="56"/>
      <c r="T3" s="8"/>
      <c r="U3" s="8"/>
      <c r="V3" s="56"/>
    </row>
    <row r="4" spans="1:22" x14ac:dyDescent="0.2">
      <c r="A4" s="8" t="s">
        <v>125</v>
      </c>
      <c r="B4" s="8">
        <v>1.75</v>
      </c>
      <c r="C4" s="8">
        <v>1.1000000000000001</v>
      </c>
      <c r="D4" s="8">
        <v>1.2749999999999999</v>
      </c>
      <c r="E4" s="8">
        <v>0.95</v>
      </c>
      <c r="F4" s="8">
        <v>0.8</v>
      </c>
      <c r="G4" s="8">
        <v>0.6</v>
      </c>
      <c r="H4" s="8">
        <v>0.5</v>
      </c>
      <c r="I4" s="8">
        <v>0.5</v>
      </c>
      <c r="J4" s="8">
        <v>0.5</v>
      </c>
      <c r="K4" s="8">
        <v>0.5</v>
      </c>
      <c r="L4" s="8">
        <v>0.5</v>
      </c>
      <c r="M4" s="8">
        <v>0.5</v>
      </c>
      <c r="N4" s="8">
        <v>0.5</v>
      </c>
      <c r="O4" s="8">
        <v>0.5</v>
      </c>
      <c r="P4" s="8">
        <v>0.5</v>
      </c>
      <c r="Q4" s="8"/>
      <c r="R4" s="8"/>
      <c r="S4" s="56"/>
      <c r="T4" s="8"/>
      <c r="U4" s="8"/>
      <c r="V4" s="56"/>
    </row>
    <row r="5" spans="1:22" x14ac:dyDescent="0.2">
      <c r="A5" s="8" t="s">
        <v>126</v>
      </c>
      <c r="B5" s="8">
        <v>3.2650000000000001</v>
      </c>
      <c r="C5" s="8">
        <v>3.165</v>
      </c>
      <c r="D5" s="8">
        <v>3.0649999999999999</v>
      </c>
      <c r="E5" s="8">
        <v>2.7250000000000001</v>
      </c>
      <c r="F5" s="8">
        <v>2.875</v>
      </c>
      <c r="G5" s="8">
        <v>3.46</v>
      </c>
      <c r="H5" s="8">
        <v>2.6850000000000001</v>
      </c>
      <c r="I5" s="8">
        <v>2.9849999999999999</v>
      </c>
      <c r="J5" s="8">
        <v>2.9849999999999999</v>
      </c>
      <c r="K5" s="8">
        <v>2.9224999999999999</v>
      </c>
      <c r="L5" s="8">
        <v>2.9224999999999999</v>
      </c>
      <c r="M5" s="8">
        <v>2.9224999999999999</v>
      </c>
      <c r="N5" s="8">
        <v>2.81</v>
      </c>
      <c r="O5" s="8">
        <v>2.81</v>
      </c>
      <c r="P5" s="8">
        <v>2.81</v>
      </c>
      <c r="Q5" s="8"/>
      <c r="R5" s="8"/>
      <c r="S5" s="56"/>
      <c r="T5" s="8"/>
      <c r="U5" s="8"/>
      <c r="V5" s="56"/>
    </row>
    <row r="6" spans="1:22" x14ac:dyDescent="0.2">
      <c r="A6" s="8" t="s">
        <v>127</v>
      </c>
      <c r="B6" s="8">
        <v>3.25</v>
      </c>
      <c r="C6" s="8">
        <v>3.625</v>
      </c>
      <c r="D6" s="8">
        <v>3.67</v>
      </c>
      <c r="E6" s="8">
        <v>3.4824999999999999</v>
      </c>
      <c r="F6" s="8">
        <v>2.9824999999999999</v>
      </c>
      <c r="G6" s="8">
        <v>2.9874999999999998</v>
      </c>
      <c r="H6" s="8">
        <v>2.3125</v>
      </c>
      <c r="I6" s="8">
        <v>2.2124999999999999</v>
      </c>
      <c r="J6" s="8">
        <v>3.1124999999999998</v>
      </c>
      <c r="K6" s="8">
        <v>3.1124999999999998</v>
      </c>
      <c r="L6" s="8">
        <v>3.1124999999999998</v>
      </c>
      <c r="M6" s="8">
        <v>3.1124999999999998</v>
      </c>
      <c r="N6" s="8">
        <v>3.05</v>
      </c>
      <c r="O6" s="8">
        <v>3.05</v>
      </c>
      <c r="P6" s="8">
        <v>3.05</v>
      </c>
      <c r="Q6" s="8"/>
      <c r="R6" s="8"/>
      <c r="S6" s="56"/>
      <c r="T6" s="8"/>
      <c r="U6" s="8"/>
      <c r="V6" s="56"/>
    </row>
    <row r="7" spans="1:22" x14ac:dyDescent="0.2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56"/>
      <c r="T7" s="8"/>
      <c r="U7" s="8"/>
      <c r="V7" s="56"/>
    </row>
    <row r="9" spans="1:22" x14ac:dyDescent="0.2">
      <c r="A9" s="57" t="s">
        <v>103</v>
      </c>
    </row>
    <row r="11" spans="1:22" x14ac:dyDescent="0.2">
      <c r="A11" s="53" t="s">
        <v>91</v>
      </c>
      <c r="B11" s="53" t="s">
        <v>105</v>
      </c>
      <c r="C11" s="53" t="s">
        <v>31</v>
      </c>
      <c r="D11" s="53" t="s">
        <v>106</v>
      </c>
      <c r="E11" s="53" t="s">
        <v>107</v>
      </c>
      <c r="F11" s="53" t="s">
        <v>108</v>
      </c>
      <c r="G11" s="53" t="s">
        <v>109</v>
      </c>
      <c r="H11" s="53" t="s">
        <v>110</v>
      </c>
      <c r="I11" s="53" t="s">
        <v>111</v>
      </c>
      <c r="J11" s="53" t="s">
        <v>112</v>
      </c>
      <c r="K11" s="53" t="s">
        <v>113</v>
      </c>
      <c r="L11" s="53" t="s">
        <v>114</v>
      </c>
      <c r="M11" s="53" t="s">
        <v>115</v>
      </c>
      <c r="N11" s="53" t="s">
        <v>116</v>
      </c>
      <c r="O11" s="53" t="s">
        <v>117</v>
      </c>
      <c r="P11" s="53" t="s">
        <v>118</v>
      </c>
      <c r="Q11" s="53" t="s">
        <v>119</v>
      </c>
      <c r="R11" s="53" t="s">
        <v>120</v>
      </c>
      <c r="S11" s="53" t="s">
        <v>121</v>
      </c>
      <c r="T11" s="53" t="s">
        <v>77</v>
      </c>
    </row>
    <row r="12" spans="1:22" x14ac:dyDescent="0.2">
      <c r="A12" s="8" t="s">
        <v>92</v>
      </c>
      <c r="B12" s="8">
        <v>216</v>
      </c>
      <c r="C12" s="8">
        <v>0</v>
      </c>
      <c r="D12" s="8">
        <v>0</v>
      </c>
      <c r="E12" s="8">
        <v>216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  <c r="M12" s="8">
        <v>0</v>
      </c>
      <c r="N12" s="8">
        <v>0</v>
      </c>
      <c r="O12" s="8">
        <v>0</v>
      </c>
      <c r="P12" s="8">
        <v>0</v>
      </c>
      <c r="Q12" s="8">
        <v>0</v>
      </c>
      <c r="R12" s="8">
        <v>0</v>
      </c>
      <c r="S12" s="8">
        <v>0</v>
      </c>
      <c r="T12" s="8">
        <v>0</v>
      </c>
    </row>
    <row r="13" spans="1:22" x14ac:dyDescent="0.2">
      <c r="A13" s="8" t="s">
        <v>93</v>
      </c>
      <c r="B13" s="8">
        <v>162.78</v>
      </c>
      <c r="C13" s="8">
        <v>3.6</v>
      </c>
      <c r="D13" s="8">
        <v>0</v>
      </c>
      <c r="E13" s="8">
        <v>46.3</v>
      </c>
      <c r="F13" s="8">
        <v>2.2999999999999998</v>
      </c>
      <c r="G13" s="8">
        <v>0</v>
      </c>
      <c r="H13" s="8">
        <v>1.05</v>
      </c>
      <c r="I13" s="8">
        <v>1.35</v>
      </c>
      <c r="J13" s="8">
        <v>0</v>
      </c>
      <c r="K13" s="8">
        <v>7.6</v>
      </c>
      <c r="L13" s="8">
        <v>12</v>
      </c>
      <c r="M13" s="8">
        <v>83.45</v>
      </c>
      <c r="N13" s="8">
        <v>5.13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</row>
    <row r="14" spans="1:22" x14ac:dyDescent="0.2">
      <c r="A14" s="8" t="s">
        <v>94</v>
      </c>
      <c r="B14" s="8">
        <v>63.6</v>
      </c>
      <c r="C14" s="8">
        <v>0</v>
      </c>
      <c r="D14" s="8">
        <v>61.8</v>
      </c>
      <c r="E14" s="8">
        <v>0</v>
      </c>
      <c r="F14" s="8">
        <v>0</v>
      </c>
      <c r="G14" s="8">
        <v>0.6</v>
      </c>
      <c r="H14" s="8">
        <v>0</v>
      </c>
      <c r="I14" s="8">
        <v>1.2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</row>
    <row r="15" spans="1:22" x14ac:dyDescent="0.2">
      <c r="A15" s="8" t="s">
        <v>95</v>
      </c>
      <c r="B15" s="8">
        <v>51.075000000000003</v>
      </c>
      <c r="C15" s="8">
        <v>0.9</v>
      </c>
      <c r="D15" s="8">
        <v>0</v>
      </c>
      <c r="E15" s="8">
        <v>22.8</v>
      </c>
      <c r="F15" s="8">
        <v>1.875</v>
      </c>
      <c r="G15" s="8">
        <v>0</v>
      </c>
      <c r="H15" s="8">
        <v>0</v>
      </c>
      <c r="I15" s="8">
        <v>0</v>
      </c>
      <c r="J15" s="8">
        <v>0</v>
      </c>
      <c r="K15" s="8">
        <v>1.8</v>
      </c>
      <c r="L15" s="8">
        <v>7.7</v>
      </c>
      <c r="M15" s="8">
        <v>16</v>
      </c>
      <c r="N15" s="8">
        <v>0</v>
      </c>
      <c r="O15" s="8">
        <v>0</v>
      </c>
      <c r="P15" s="8">
        <v>0</v>
      </c>
      <c r="Q15" s="8">
        <v>0</v>
      </c>
      <c r="R15" s="8">
        <v>0</v>
      </c>
      <c r="S15" s="8">
        <v>0</v>
      </c>
      <c r="T15" s="8">
        <v>0</v>
      </c>
    </row>
    <row r="16" spans="1:22" x14ac:dyDescent="0.2">
      <c r="A16" s="8" t="s">
        <v>96</v>
      </c>
      <c r="B16" s="8">
        <v>35.454999999999998</v>
      </c>
      <c r="C16" s="8">
        <v>0</v>
      </c>
      <c r="D16" s="8">
        <v>0</v>
      </c>
      <c r="E16" s="8">
        <v>7.2</v>
      </c>
      <c r="F16" s="8">
        <v>0.375</v>
      </c>
      <c r="G16" s="8">
        <v>0</v>
      </c>
      <c r="H16" s="8">
        <v>1.8</v>
      </c>
      <c r="I16" s="8">
        <v>0.65</v>
      </c>
      <c r="J16" s="8">
        <v>0</v>
      </c>
      <c r="K16" s="8">
        <v>1.65</v>
      </c>
      <c r="L16" s="8">
        <v>7.2</v>
      </c>
      <c r="M16" s="8">
        <v>5.4</v>
      </c>
      <c r="N16" s="8">
        <v>0</v>
      </c>
      <c r="O16" s="8">
        <v>0</v>
      </c>
      <c r="P16" s="8">
        <v>0</v>
      </c>
      <c r="Q16" s="8">
        <v>0</v>
      </c>
      <c r="R16" s="8">
        <v>11.18</v>
      </c>
      <c r="S16" s="8">
        <v>0</v>
      </c>
      <c r="T16" s="8">
        <v>0</v>
      </c>
    </row>
    <row r="19" spans="1:17" x14ac:dyDescent="0.2">
      <c r="A19" s="8" t="s">
        <v>104</v>
      </c>
    </row>
    <row r="21" spans="1:17" x14ac:dyDescent="0.2">
      <c r="A21" s="53" t="s">
        <v>91</v>
      </c>
      <c r="B21" s="53" t="s">
        <v>97</v>
      </c>
      <c r="C21" s="53" t="s">
        <v>98</v>
      </c>
      <c r="D21" s="53" t="s">
        <v>99</v>
      </c>
      <c r="E21" s="53" t="s">
        <v>100</v>
      </c>
      <c r="F21" s="53" t="s">
        <v>101</v>
      </c>
      <c r="G21" s="53" t="s">
        <v>102</v>
      </c>
      <c r="H21" s="53" t="s">
        <v>128</v>
      </c>
      <c r="I21" s="54"/>
      <c r="K21" s="54"/>
      <c r="L21" s="54"/>
      <c r="M21" s="54"/>
      <c r="N21" s="54"/>
      <c r="Q21" s="54"/>
    </row>
    <row r="22" spans="1:17" x14ac:dyDescent="0.2">
      <c r="A22" s="8" t="s">
        <v>92</v>
      </c>
      <c r="B22" s="8">
        <v>36</v>
      </c>
      <c r="C22" s="8"/>
      <c r="D22" s="8"/>
      <c r="E22" s="8"/>
      <c r="F22" s="8"/>
      <c r="G22" s="8">
        <v>180</v>
      </c>
      <c r="H22" s="8">
        <v>216</v>
      </c>
      <c r="I22" s="8"/>
      <c r="K22" s="8"/>
      <c r="L22" s="8"/>
      <c r="M22" s="8"/>
      <c r="N22" s="8"/>
      <c r="Q22" s="8"/>
    </row>
    <row r="23" spans="1:17" x14ac:dyDescent="0.2">
      <c r="A23" s="8" t="s">
        <v>93</v>
      </c>
      <c r="B23" s="8">
        <v>2.7</v>
      </c>
      <c r="C23" s="8">
        <v>154.05000000000001</v>
      </c>
      <c r="D23" s="8">
        <v>5.13</v>
      </c>
      <c r="E23" s="8">
        <v>0.9</v>
      </c>
      <c r="F23" s="8"/>
      <c r="G23" s="8"/>
      <c r="H23" s="8">
        <v>162.78</v>
      </c>
      <c r="I23" s="8"/>
      <c r="K23" s="8"/>
      <c r="L23" s="8"/>
      <c r="M23" s="8"/>
      <c r="N23" s="8"/>
      <c r="Q23" s="8"/>
    </row>
    <row r="24" spans="1:17" x14ac:dyDescent="0.2">
      <c r="A24" s="8" t="s">
        <v>94</v>
      </c>
      <c r="B24" s="8"/>
      <c r="C24" s="8">
        <v>63.6</v>
      </c>
      <c r="D24" s="8"/>
      <c r="E24" s="8"/>
      <c r="F24" s="8"/>
      <c r="G24" s="8"/>
      <c r="H24" s="8">
        <v>63.6</v>
      </c>
      <c r="I24" s="8"/>
      <c r="K24" s="8"/>
      <c r="L24" s="8"/>
      <c r="M24" s="8"/>
      <c r="N24" s="8"/>
      <c r="Q24" s="8"/>
    </row>
    <row r="25" spans="1:17" x14ac:dyDescent="0.2">
      <c r="A25" s="8" t="s">
        <v>95</v>
      </c>
      <c r="B25" s="8"/>
      <c r="C25" s="8">
        <v>27.375</v>
      </c>
      <c r="D25" s="8"/>
      <c r="E25" s="8"/>
      <c r="F25" s="8"/>
      <c r="G25" s="8">
        <v>23.7</v>
      </c>
      <c r="H25" s="8">
        <v>51.075000000000003</v>
      </c>
      <c r="I25" s="8"/>
      <c r="K25" s="8"/>
      <c r="L25" s="8"/>
      <c r="M25" s="8"/>
      <c r="N25" s="8"/>
      <c r="Q25" s="8"/>
    </row>
    <row r="26" spans="1:17" x14ac:dyDescent="0.2">
      <c r="A26" s="8" t="s">
        <v>96</v>
      </c>
      <c r="B26" s="8">
        <v>0.8</v>
      </c>
      <c r="C26" s="8"/>
      <c r="D26" s="8"/>
      <c r="E26" s="8"/>
      <c r="F26" s="8">
        <v>34.655000000000001</v>
      </c>
      <c r="G26" s="8"/>
      <c r="H26" s="8">
        <v>35.454999999999998</v>
      </c>
      <c r="I26" s="8"/>
      <c r="K26" s="8"/>
      <c r="L26" s="8"/>
      <c r="M26" s="8"/>
      <c r="N26" s="8"/>
      <c r="Q26" s="8"/>
    </row>
    <row r="30" spans="1:17" x14ac:dyDescent="0.2">
      <c r="B30" s="55" t="s">
        <v>1</v>
      </c>
      <c r="C30" s="55" t="s">
        <v>2</v>
      </c>
      <c r="D30" s="55" t="s">
        <v>3</v>
      </c>
      <c r="E30" s="55" t="s">
        <v>4</v>
      </c>
      <c r="F30" s="55" t="s">
        <v>5</v>
      </c>
      <c r="G30" s="55" t="s">
        <v>6</v>
      </c>
      <c r="H30" s="55" t="s">
        <v>7</v>
      </c>
      <c r="I30" s="55" t="s">
        <v>8</v>
      </c>
      <c r="J30" s="55" t="s">
        <v>9</v>
      </c>
      <c r="K30" s="55" t="s">
        <v>10</v>
      </c>
      <c r="L30" s="55" t="s">
        <v>11</v>
      </c>
      <c r="M30" s="55" t="s">
        <v>12</v>
      </c>
      <c r="N30" s="17"/>
      <c r="O30" s="17"/>
      <c r="P30" s="17"/>
    </row>
    <row r="31" spans="1:17" s="73" customFormat="1" ht="15" x14ac:dyDescent="0.2">
      <c r="A31" s="79" t="s">
        <v>18</v>
      </c>
      <c r="B31" s="74">
        <f t="shared" ref="B31:M31" si="0">SUM(B32,B33)</f>
        <v>2717433</v>
      </c>
      <c r="C31" s="74">
        <f t="shared" si="0"/>
        <v>6209433</v>
      </c>
      <c r="D31" s="74">
        <f t="shared" si="0"/>
        <v>13563433</v>
      </c>
      <c r="E31" s="74">
        <f t="shared" si="0"/>
        <v>7233433</v>
      </c>
      <c r="F31" s="74">
        <f t="shared" si="0"/>
        <v>7406433</v>
      </c>
      <c r="G31" s="74">
        <f t="shared" si="0"/>
        <v>19319433</v>
      </c>
      <c r="H31" s="74">
        <f t="shared" si="0"/>
        <v>13479433</v>
      </c>
      <c r="I31" s="74">
        <f t="shared" si="0"/>
        <v>10679433</v>
      </c>
      <c r="J31" s="74">
        <f t="shared" si="0"/>
        <v>18089433</v>
      </c>
      <c r="K31" s="74">
        <f t="shared" si="0"/>
        <v>16179433</v>
      </c>
      <c r="L31" s="74">
        <f t="shared" si="0"/>
        <v>14539433</v>
      </c>
      <c r="M31" s="74">
        <f t="shared" si="0"/>
        <v>19853233</v>
      </c>
    </row>
    <row r="32" spans="1:17" s="72" customFormat="1" ht="15" x14ac:dyDescent="0.2">
      <c r="A32" s="76" t="s">
        <v>134</v>
      </c>
      <c r="B32" s="75">
        <v>1787433</v>
      </c>
      <c r="C32" s="75">
        <v>4779433</v>
      </c>
      <c r="D32" s="75">
        <v>7833433</v>
      </c>
      <c r="E32" s="75">
        <v>5233433</v>
      </c>
      <c r="F32" s="75">
        <v>4206433</v>
      </c>
      <c r="G32" s="75">
        <v>14379433</v>
      </c>
      <c r="H32" s="75">
        <v>9279433</v>
      </c>
      <c r="I32" s="75">
        <v>6279433</v>
      </c>
      <c r="J32" s="75">
        <v>10379433</v>
      </c>
      <c r="K32" s="75">
        <v>11279433</v>
      </c>
      <c r="L32" s="75">
        <v>4379433</v>
      </c>
      <c r="M32" s="75">
        <v>10453233</v>
      </c>
    </row>
    <row r="33" spans="1:13" s="72" customFormat="1" ht="15" x14ac:dyDescent="0.2">
      <c r="A33" s="76" t="s">
        <v>135</v>
      </c>
      <c r="B33" s="75">
        <v>930000</v>
      </c>
      <c r="C33" s="75">
        <v>1430000</v>
      </c>
      <c r="D33" s="75">
        <v>5730000</v>
      </c>
      <c r="E33" s="75">
        <v>2000000</v>
      </c>
      <c r="F33" s="75">
        <v>3200000</v>
      </c>
      <c r="G33" s="75">
        <v>4940000</v>
      </c>
      <c r="H33" s="75">
        <v>4200000</v>
      </c>
      <c r="I33" s="75">
        <v>4400000</v>
      </c>
      <c r="J33" s="75">
        <v>7710000</v>
      </c>
      <c r="K33" s="75">
        <v>4900000</v>
      </c>
      <c r="L33" s="75">
        <v>10160000</v>
      </c>
      <c r="M33" s="75">
        <v>9400000</v>
      </c>
    </row>
    <row r="34" spans="1:13" s="73" customFormat="1" ht="15" x14ac:dyDescent="0.2">
      <c r="A34" s="78" t="s">
        <v>130</v>
      </c>
      <c r="B34" s="74">
        <f>SUM(B35,B36)</f>
        <v>1049908</v>
      </c>
      <c r="C34" s="74">
        <f t="shared" ref="C34:E34" si="1">SUM(C35,C36)</f>
        <v>6155989</v>
      </c>
      <c r="D34" s="74">
        <f t="shared" si="1"/>
        <v>9094371</v>
      </c>
      <c r="E34" s="74">
        <f t="shared" si="1"/>
        <v>6308025</v>
      </c>
    </row>
    <row r="35" spans="1:13" s="72" customFormat="1" ht="15" x14ac:dyDescent="0.2">
      <c r="A35" s="77" t="s">
        <v>136</v>
      </c>
      <c r="B35" s="75">
        <v>1002658</v>
      </c>
      <c r="C35" s="75">
        <v>5710093</v>
      </c>
      <c r="D35" s="75">
        <v>8544505</v>
      </c>
      <c r="E35" s="75">
        <v>4855248</v>
      </c>
    </row>
    <row r="36" spans="1:13" s="72" customFormat="1" ht="15" x14ac:dyDescent="0.2">
      <c r="A36" s="77" t="s">
        <v>137</v>
      </c>
      <c r="B36" s="75">
        <v>47250</v>
      </c>
      <c r="C36" s="75">
        <v>445896</v>
      </c>
      <c r="D36" s="75">
        <v>549866</v>
      </c>
      <c r="E36" s="75">
        <v>1452777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37"/>
  <sheetViews>
    <sheetView tabSelected="1" topLeftCell="A22" workbookViewId="0">
      <selection activeCell="N36" sqref="N36"/>
    </sheetView>
  </sheetViews>
  <sheetFormatPr baseColWidth="10" defaultRowHeight="16" x14ac:dyDescent="0.2"/>
  <cols>
    <col min="1" max="1" width="27.1640625" bestFit="1" customWidth="1"/>
  </cols>
  <sheetData>
    <row r="1" spans="1:20" s="58" customFormat="1" x14ac:dyDescent="0.2">
      <c r="A1" s="58" t="str">
        <f>IF(Project!A1&gt;0,Project!A1,"")</f>
        <v>Group</v>
      </c>
      <c r="B1" s="58" t="str">
        <f>IF(Project!B1&gt;0,Project!B1,"")</f>
        <v>JAN</v>
      </c>
      <c r="C1" s="58" t="str">
        <f>IF(Project!C1&gt;0,Project!C1,"")</f>
        <v>FEB</v>
      </c>
      <c r="D1" s="58" t="str">
        <f>IF(Project!D1&gt;0,Project!D1,"")</f>
        <v>MAR</v>
      </c>
      <c r="E1" s="58" t="str">
        <f>IF(Project!E1&gt;0,Project!E1,"")</f>
        <v>APR</v>
      </c>
      <c r="F1" s="58" t="str">
        <f>IF(Project!F1&gt;0,Project!F1,"")</f>
        <v>MAY</v>
      </c>
      <c r="G1" s="58" t="str">
        <f>IF(Project!G1&gt;0,Project!G1,"")</f>
        <v>JUN</v>
      </c>
      <c r="H1" s="58" t="str">
        <f>IF(Project!H1&gt;0,Project!H1,"")</f>
        <v>JUL</v>
      </c>
      <c r="I1" s="58" t="str">
        <f>IF(Project!I1&gt;0,Project!I1,"")</f>
        <v>AUG</v>
      </c>
      <c r="J1" s="58" t="str">
        <f>IF(Project!J1&gt;0,Project!J1,"")</f>
        <v>SEP</v>
      </c>
      <c r="K1" s="58" t="str">
        <f>IF(Project!K1&gt;0,Project!K1,"")</f>
        <v>OCT</v>
      </c>
      <c r="L1" s="58" t="str">
        <f>IF(Project!L1&gt;0,Project!L1,"")</f>
        <v>NOV</v>
      </c>
      <c r="M1" s="58" t="str">
        <f>IF(Project!M1&gt;0,Project!M1,"")</f>
        <v>DEC</v>
      </c>
      <c r="N1" s="58" t="str">
        <f>IF(Project!N1&gt;0,Project!N1,"")</f>
        <v>JAN'27</v>
      </c>
      <c r="O1" s="58" t="str">
        <f>IF(Project!O1&gt;0,Project!O1,"")</f>
        <v>FEB'27</v>
      </c>
      <c r="P1" s="58" t="str">
        <f>IF(Project!P1&gt;0,Project!P1,"")</f>
        <v>MAR'27</v>
      </c>
      <c r="Q1" s="58" t="str">
        <f>IF(Project!Q1&gt;0,Project!Q1,"")</f>
        <v/>
      </c>
      <c r="R1" s="58" t="str">
        <f>IF(Project!R1&gt;0,Project!R1,"")</f>
        <v/>
      </c>
      <c r="S1" s="58" t="str">
        <f>IF(Project!S1&gt;0,Project!S1,"")</f>
        <v/>
      </c>
      <c r="T1" s="58" t="str">
        <f>IF(Project!T1&gt;0,Project!T1,"")</f>
        <v/>
      </c>
    </row>
    <row r="2" spans="1:20" x14ac:dyDescent="0.2">
      <c r="A2" t="str">
        <f>IF(Project!A2&gt;0,Project!A2,"")</f>
        <v>GINII</v>
      </c>
      <c r="B2">
        <f>IF(Project!B2&gt;0,Project!B2,"")</f>
        <v>2.46</v>
      </c>
      <c r="C2">
        <f>IF(Project!C2&gt;0,Project!C2,"")</f>
        <v>2.4649999999999999</v>
      </c>
      <c r="D2">
        <f>IF(Project!D2&gt;0,Project!D2,"")</f>
        <v>2.4649999999999999</v>
      </c>
      <c r="E2">
        <f>IF(Project!E2&gt;0,Project!E2,"")</f>
        <v>1.95</v>
      </c>
      <c r="F2">
        <f>IF(Project!F2&gt;0,Project!F2,"")</f>
        <v>2.2999999999999998</v>
      </c>
      <c r="G2">
        <f>IF(Project!G2&gt;0,Project!G2,"")</f>
        <v>3.2</v>
      </c>
      <c r="H2">
        <f>IF(Project!H2&gt;0,Project!H2,"")</f>
        <v>2.9</v>
      </c>
      <c r="I2">
        <f>IF(Project!I2&gt;0,Project!I2,"")</f>
        <v>2.7749999999999999</v>
      </c>
      <c r="J2">
        <f>IF(Project!J2&gt;0,Project!J2,"")</f>
        <v>2.7749999999999999</v>
      </c>
      <c r="K2">
        <f>IF(Project!K2&gt;0,Project!K2,"")</f>
        <v>2.6124999999999998</v>
      </c>
      <c r="L2">
        <f>IF(Project!L2&gt;0,Project!L2,"")</f>
        <v>2.6124999999999998</v>
      </c>
      <c r="M2">
        <f>IF(Project!M2&gt;0,Project!M2,"")</f>
        <v>2.6124999999999998</v>
      </c>
      <c r="N2">
        <f>IF(Project!N2&gt;0,Project!N2,"")</f>
        <v>0.80249999999999999</v>
      </c>
      <c r="O2">
        <f>IF(Project!O2&gt;0,Project!O2,"")</f>
        <v>0.80249999999999999</v>
      </c>
      <c r="P2">
        <f>IF(Project!P2&gt;0,Project!P2,"")</f>
        <v>0.80249999999999999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3.37</v>
      </c>
      <c r="C3">
        <f>IF(Project!C3&gt;0,Project!C3,"")</f>
        <v>2.77</v>
      </c>
      <c r="D3">
        <f>IF(Project!D3&gt;0,Project!D3,"")</f>
        <v>2.59</v>
      </c>
      <c r="E3">
        <f>IF(Project!E3&gt;0,Project!E3,"")</f>
        <v>2.08</v>
      </c>
      <c r="F3">
        <f>IF(Project!F3&gt;0,Project!F3,"")</f>
        <v>2.13</v>
      </c>
      <c r="G3">
        <f>IF(Project!G3&gt;0,Project!G3,"")</f>
        <v>1.75</v>
      </c>
      <c r="H3">
        <f>IF(Project!H3&gt;0,Project!H3,"")</f>
        <v>2</v>
      </c>
      <c r="I3">
        <f>IF(Project!I3&gt;0,Project!I3,"")</f>
        <v>2</v>
      </c>
      <c r="J3">
        <f>IF(Project!J3&gt;0,Project!J3,"")</f>
        <v>2</v>
      </c>
      <c r="K3">
        <f>IF(Project!K3&gt;0,Project!K3,"")</f>
        <v>2</v>
      </c>
      <c r="L3">
        <f>IF(Project!L3&gt;0,Project!L3,"")</f>
        <v>2</v>
      </c>
      <c r="M3">
        <f>IF(Project!M3&gt;0,Project!M3,"")</f>
        <v>2</v>
      </c>
      <c r="N3">
        <f>IF(Project!N3&gt;0,Project!N3,"")</f>
        <v>1.55</v>
      </c>
      <c r="O3">
        <f>IF(Project!O3&gt;0,Project!O3,"")</f>
        <v>1.55</v>
      </c>
      <c r="P3">
        <f>IF(Project!P3&gt;0,Project!P3,"")</f>
        <v>1.55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RGUARD</v>
      </c>
      <c r="B4">
        <f>IF(Project!B4&gt;0,Project!B4,"")</f>
        <v>1.75</v>
      </c>
      <c r="C4">
        <f>IF(Project!C4&gt;0,Project!C4,"")</f>
        <v>1.1000000000000001</v>
      </c>
      <c r="D4">
        <f>IF(Project!D4&gt;0,Project!D4,"")</f>
        <v>1.2749999999999999</v>
      </c>
      <c r="E4">
        <f>IF(Project!E4&gt;0,Project!E4,"")</f>
        <v>0.95</v>
      </c>
      <c r="F4">
        <f>IF(Project!F4&gt;0,Project!F4,"")</f>
        <v>0.8</v>
      </c>
      <c r="G4">
        <f>IF(Project!G4&gt;0,Project!G4,"")</f>
        <v>0.6</v>
      </c>
      <c r="H4">
        <f>IF(Project!H4&gt;0,Project!H4,"")</f>
        <v>0.5</v>
      </c>
      <c r="I4">
        <f>IF(Project!I4&gt;0,Project!I4,"")</f>
        <v>0.5</v>
      </c>
      <c r="J4">
        <f>IF(Project!J4&gt;0,Project!J4,"")</f>
        <v>0.5</v>
      </c>
      <c r="K4">
        <f>IF(Project!K4&gt;0,Project!K4,"")</f>
        <v>0.5</v>
      </c>
      <c r="L4">
        <f>IF(Project!L4&gt;0,Project!L4,"")</f>
        <v>0.5</v>
      </c>
      <c r="M4">
        <f>IF(Project!M4&gt;0,Project!M4,"")</f>
        <v>0.5</v>
      </c>
      <c r="N4">
        <f>IF(Project!N4&gt;0,Project!N4,"")</f>
        <v>0.5</v>
      </c>
      <c r="O4">
        <f>IF(Project!O4&gt;0,Project!O4,"")</f>
        <v>0.5</v>
      </c>
      <c r="P4">
        <f>IF(Project!P4&gt;0,Project!P4,"")</f>
        <v>0.5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SARA</v>
      </c>
      <c r="B5">
        <f>IF(Project!B5&gt;0,Project!B5,"")</f>
        <v>3.2650000000000001</v>
      </c>
      <c r="C5">
        <f>IF(Project!C5&gt;0,Project!C5,"")</f>
        <v>3.165</v>
      </c>
      <c r="D5">
        <f>IF(Project!D5&gt;0,Project!D5,"")</f>
        <v>3.0649999999999999</v>
      </c>
      <c r="E5">
        <f>IF(Project!E5&gt;0,Project!E5,"")</f>
        <v>2.7250000000000001</v>
      </c>
      <c r="F5">
        <f>IF(Project!F5&gt;0,Project!F5,"")</f>
        <v>2.875</v>
      </c>
      <c r="G5">
        <f>IF(Project!G5&gt;0,Project!G5,"")</f>
        <v>3.46</v>
      </c>
      <c r="H5">
        <f>IF(Project!H5&gt;0,Project!H5,"")</f>
        <v>2.6850000000000001</v>
      </c>
      <c r="I5">
        <f>IF(Project!I5&gt;0,Project!I5,"")</f>
        <v>2.9849999999999999</v>
      </c>
      <c r="J5">
        <f>IF(Project!J5&gt;0,Project!J5,"")</f>
        <v>2.9849999999999999</v>
      </c>
      <c r="K5">
        <f>IF(Project!K5&gt;0,Project!K5,"")</f>
        <v>2.9224999999999999</v>
      </c>
      <c r="L5">
        <f>IF(Project!L5&gt;0,Project!L5,"")</f>
        <v>2.9224999999999999</v>
      </c>
      <c r="M5">
        <f>IF(Project!M5&gt;0,Project!M5,"")</f>
        <v>2.9224999999999999</v>
      </c>
      <c r="N5">
        <f>IF(Project!N5&gt;0,Project!N5,"")</f>
        <v>2.81</v>
      </c>
      <c r="O5">
        <f>IF(Project!O5&gt;0,Project!O5,"")</f>
        <v>2.81</v>
      </c>
      <c r="P5">
        <f>IF(Project!P5&gt;0,Project!P5,"")</f>
        <v>2.81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3.25</v>
      </c>
      <c r="C6">
        <f>IF(Project!C6&gt;0,Project!C6,"")</f>
        <v>3.625</v>
      </c>
      <c r="D6">
        <f>IF(Project!D6&gt;0,Project!D6,"")</f>
        <v>3.67</v>
      </c>
      <c r="E6">
        <f>IF(Project!E6&gt;0,Project!E6,"")</f>
        <v>3.4824999999999999</v>
      </c>
      <c r="F6">
        <f>IF(Project!F6&gt;0,Project!F6,"")</f>
        <v>2.9824999999999999</v>
      </c>
      <c r="G6">
        <f>IF(Project!G6&gt;0,Project!G6,"")</f>
        <v>2.9874999999999998</v>
      </c>
      <c r="H6">
        <f>IF(Project!H6&gt;0,Project!H6,"")</f>
        <v>2.3125</v>
      </c>
      <c r="I6">
        <f>IF(Project!I6&gt;0,Project!I6,"")</f>
        <v>2.2124999999999999</v>
      </c>
      <c r="J6">
        <f>IF(Project!J6&gt;0,Project!J6,"")</f>
        <v>3.1124999999999998</v>
      </c>
      <c r="K6">
        <f>IF(Project!K6&gt;0,Project!K6,"")</f>
        <v>3.1124999999999998</v>
      </c>
      <c r="L6">
        <f>IF(Project!L6&gt;0,Project!L6,"")</f>
        <v>3.1124999999999998</v>
      </c>
      <c r="M6">
        <f>IF(Project!M6&gt;0,Project!M6,"")</f>
        <v>3.1124999999999998</v>
      </c>
      <c r="N6">
        <f>IF(Project!N6&gt;0,Project!N6,"")</f>
        <v>3.05</v>
      </c>
      <c r="O6">
        <f>IF(Project!O6&gt;0,Project!O6,"")</f>
        <v>3.05</v>
      </c>
      <c r="P6">
        <f>IF(Project!P6&gt;0,Project!P6,"")</f>
        <v>3.05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/>
      </c>
      <c r="B7" t="str">
        <f>IF(Project!B7&gt;0,Project!B7,"")</f>
        <v/>
      </c>
      <c r="C7" t="str">
        <f>IF(Project!C7&gt;0,Project!C7,"")</f>
        <v/>
      </c>
      <c r="D7" t="str">
        <f>IF(Project!D7&gt;0,Project!D7,"")</f>
        <v/>
      </c>
      <c r="E7" t="str">
        <f>IF(Project!E7&gt;0,Project!E7,"")</f>
        <v/>
      </c>
      <c r="F7" t="str">
        <f>IF(Project!F7&gt;0,Project!F7,"")</f>
        <v/>
      </c>
      <c r="G7" t="str">
        <f>IF(Project!G7&gt;0,Project!G7,"")</f>
        <v/>
      </c>
      <c r="H7" t="str">
        <f>IF(Project!H7&gt;0,Project!H7,"")</f>
        <v/>
      </c>
      <c r="I7" t="str">
        <f>IF(Project!I7&gt;0,Project!I7,"")</f>
        <v/>
      </c>
      <c r="J7" t="str">
        <f>IF(Project!J7&gt;0,Project!J7,"")</f>
        <v/>
      </c>
      <c r="K7" t="str">
        <f>IF(Project!K7&gt;0,Project!K7,"")</f>
        <v/>
      </c>
      <c r="L7" t="str">
        <f>IF(Project!L7&gt;0,Project!L7,"")</f>
        <v/>
      </c>
      <c r="M7" t="str">
        <f>IF(Project!M7&gt;0,Project!M7,"")</f>
        <v/>
      </c>
      <c r="N7" t="str">
        <f>IF(Project!N7&gt;0,Project!N7,"")</f>
        <v/>
      </c>
      <c r="O7" t="str">
        <f>IF(Project!O7&gt;0,Project!O7,"")</f>
        <v/>
      </c>
      <c r="P7" t="str">
        <f>IF(Project!P7&gt;0,Project!P7,"")</f>
        <v/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8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8" customFormat="1" x14ac:dyDescent="0.2">
      <c r="A11" s="58" t="str">
        <f>IF(Project!A11&gt;0,Project!A11,"")</f>
        <v>Group Name</v>
      </c>
      <c r="B11" s="58" t="str">
        <f>IF(Project!B11&gt;0,Project!B11,"")</f>
        <v>Total</v>
      </c>
      <c r="C11" s="58" t="str">
        <f>IF(Project!C11&gt;0,Project!C11,"")</f>
        <v>CPS</v>
      </c>
      <c r="D11" s="58" t="str">
        <f>IF(Project!D11&gt;0,Project!D11,"")</f>
        <v>PSE-PE</v>
      </c>
      <c r="E11" s="58" t="str">
        <f>IF(Project!E11&gt;0,Project!E11,"")</f>
        <v>PSE-SE</v>
      </c>
      <c r="F11" s="58" t="str">
        <f>IF(Project!F11&gt;0,Project!F11,"")</f>
        <v>SD-Design</v>
      </c>
      <c r="G11" s="58" t="str">
        <f>IF(Project!G11&gt;0,Project!G11,"")</f>
        <v>SD-Data</v>
      </c>
      <c r="H11" s="58" t="str">
        <f>IF(Project!H11&gt;0,Project!H11,"")</f>
        <v>SD-SA</v>
      </c>
      <c r="I11" s="58" t="str">
        <f>IF(Project!I11&gt;0,Project!I11,"")</f>
        <v>SD-SRE</v>
      </c>
      <c r="J11" s="58" t="str">
        <f>IF(Project!J11&gt;0,Project!J11,"")</f>
        <v>SD-CyberSec</v>
      </c>
      <c r="K11" s="58" t="str">
        <f>IF(Project!K11&gt;0,Project!K11,"")</f>
        <v>SD-PM</v>
      </c>
      <c r="L11" s="58" t="str">
        <f>IF(Project!L11&gt;0,Project!L11,"")</f>
        <v>SD-BA</v>
      </c>
      <c r="M11" s="58" t="str">
        <f>IF(Project!M11&gt;0,Project!M11,"")</f>
        <v>SD-QA</v>
      </c>
      <c r="N11" s="58" t="str">
        <f>IF(Project!N11&gt;0,Project!N11,"")</f>
        <v>SD-TM</v>
      </c>
      <c r="O11" s="58" t="str">
        <f>IF(Project!O11&gt;0,Project!O11,"")</f>
        <v>AIC-AI</v>
      </c>
      <c r="P11" s="58" t="str">
        <f>IF(Project!P11&gt;0,Project!P11,"")</f>
        <v>AIC-AIE</v>
      </c>
      <c r="Q11" s="58" t="str">
        <f>IF(Project!Q11&gt;0,Project!Q11,"")</f>
        <v>AIC-IoT</v>
      </c>
      <c r="R11" s="58" t="str">
        <f>IF(Project!R11&gt;0,Project!R11,"")</f>
        <v>AIC-SAI</v>
      </c>
      <c r="S11" s="58" t="str">
        <f>IF(Project!S11&gt;0,Project!S11,"")</f>
        <v>AIC-PSI</v>
      </c>
      <c r="T11" s="58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CAP (Common AI Platform)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WeShape platform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/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8" customFormat="1" x14ac:dyDescent="0.2">
      <c r="A19" s="58" t="str">
        <f>IF(Project!A19&gt;0,Project!A19,"")</f>
        <v>Project by Type</v>
      </c>
      <c r="B19" s="58" t="str">
        <f>IF(Project!B19&gt;0,Project!B19,"")</f>
        <v/>
      </c>
      <c r="C19" s="58" t="str">
        <f>IF(Project!C19&gt;0,Project!C19,"")</f>
        <v/>
      </c>
      <c r="D19" s="58" t="str">
        <f>IF(Project!D19&gt;0,Project!D19,"")</f>
        <v/>
      </c>
      <c r="E19" s="58" t="str">
        <f>IF(Project!E19&gt;0,Project!E19,"")</f>
        <v/>
      </c>
      <c r="F19" s="58" t="str">
        <f>IF(Project!F19&gt;0,Project!F19,"")</f>
        <v/>
      </c>
      <c r="G19" s="58" t="str">
        <f>IF(Project!G19&gt;0,Project!G19,"")</f>
        <v/>
      </c>
      <c r="H19" s="58" t="str">
        <f>IF(Project!H19&gt;0,Project!H19,"")</f>
        <v/>
      </c>
      <c r="I19" s="58" t="str">
        <f>IF(Project!I19&gt;0,Project!I19,"")</f>
        <v/>
      </c>
      <c r="J19" s="58" t="str">
        <f>IF(Project!J19&gt;0,Project!J19,"")</f>
        <v/>
      </c>
      <c r="K19" s="58" t="str">
        <f>IF(Project!K19&gt;0,Project!K19,"")</f>
        <v/>
      </c>
      <c r="L19" s="58" t="str">
        <f>IF(Project!L19&gt;0,Project!L19,"")</f>
        <v/>
      </c>
      <c r="M19" s="58" t="str">
        <f>IF(Project!M19&gt;0,Project!M19,"")</f>
        <v/>
      </c>
      <c r="N19" s="58" t="str">
        <f>IF(Project!N19&gt;0,Project!N19,"")</f>
        <v/>
      </c>
      <c r="O19" s="58" t="str">
        <f>IF(Project!O19&gt;0,Project!O19,"")</f>
        <v/>
      </c>
      <c r="P19" s="58" t="str">
        <f>IF(Project!P19&gt;0,Project!P19,"")</f>
        <v/>
      </c>
      <c r="Q19" s="58" t="str">
        <f>IF(Project!Q19&gt;0,Project!Q19,"")</f>
        <v/>
      </c>
      <c r="R19" s="58" t="str">
        <f>IF(Project!R19&gt;0,Project!R19,"")</f>
        <v/>
      </c>
      <c r="S19" s="58" t="str">
        <f>IF(Project!S19&gt;0,Project!S19,"")</f>
        <v/>
      </c>
      <c r="T19" s="58" t="str">
        <f>IF(Project!T19&gt;0,Project!T19,"")</f>
        <v/>
      </c>
    </row>
    <row r="20" spans="1:20" s="58" customFormat="1" x14ac:dyDescent="0.2">
      <c r="A20" s="58" t="str">
        <f>IF(Project!A20&gt;0,Project!A20,"")</f>
        <v/>
      </c>
      <c r="B20" s="58" t="str">
        <f>IF(Project!B20&gt;0,Project!B20,"")</f>
        <v/>
      </c>
      <c r="C20" s="58" t="str">
        <f>IF(Project!C20&gt;0,Project!C20,"")</f>
        <v/>
      </c>
      <c r="D20" s="58" t="str">
        <f>IF(Project!D20&gt;0,Project!D20,"")</f>
        <v/>
      </c>
      <c r="E20" s="58" t="str">
        <f>IF(Project!E20&gt;0,Project!E20,"")</f>
        <v/>
      </c>
      <c r="F20" s="58" t="str">
        <f>IF(Project!F20&gt;0,Project!F20,"")</f>
        <v/>
      </c>
      <c r="G20" s="58" t="str">
        <f>IF(Project!G20&gt;0,Project!G20,"")</f>
        <v/>
      </c>
      <c r="H20" s="58" t="str">
        <f>IF(Project!H20&gt;0,Project!H20,"")</f>
        <v/>
      </c>
      <c r="I20" s="58" t="str">
        <f>IF(Project!I20&gt;0,Project!I20,"")</f>
        <v/>
      </c>
      <c r="J20" s="58" t="str">
        <f>IF(Project!J20&gt;0,Project!J20,"")</f>
        <v/>
      </c>
      <c r="K20" s="58" t="str">
        <f>IF(Project!K20&gt;0,Project!K20,"")</f>
        <v/>
      </c>
      <c r="L20" s="58" t="str">
        <f>IF(Project!L20&gt;0,Project!L20,"")</f>
        <v/>
      </c>
      <c r="M20" s="58" t="str">
        <f>IF(Project!M20&gt;0,Project!M20,"")</f>
        <v/>
      </c>
      <c r="N20" s="58" t="str">
        <f>IF(Project!N20&gt;0,Project!N20,"")</f>
        <v/>
      </c>
      <c r="O20" s="58" t="str">
        <f>IF(Project!O20&gt;0,Project!O20,"")</f>
        <v/>
      </c>
      <c r="P20" s="58" t="str">
        <f>IF(Project!P20&gt;0,Project!P20,"")</f>
        <v/>
      </c>
      <c r="Q20" s="58" t="str">
        <f>IF(Project!Q20&gt;0,Project!Q20,"")</f>
        <v/>
      </c>
      <c r="R20" s="58" t="str">
        <f>IF(Project!R20&gt;0,Project!R20,"")</f>
        <v/>
      </c>
      <c r="S20" s="58" t="str">
        <f>IF(Project!S20&gt;0,Project!S20,"")</f>
        <v/>
      </c>
      <c r="T20" s="58" t="str">
        <f>IF(Project!T20&gt;0,Project!T20,"")</f>
        <v/>
      </c>
    </row>
    <row r="21" spans="1:20" x14ac:dyDescent="0.2">
      <c r="A21" s="58" t="str">
        <f>IF(Project!A21&gt;0,Project!A21,"")</f>
        <v>Group Name</v>
      </c>
      <c r="B21" s="61" t="str">
        <f>IF(Project!A22&gt;0,Project!A22,"")</f>
        <v>IT Dist</v>
      </c>
      <c r="C21" s="62" t="str">
        <f>IF(Project!A23&gt;0,Project!A23,"")</f>
        <v>SCGP e-Ordering</v>
      </c>
      <c r="D21" s="63" t="str">
        <f>IF(Project!A24&gt;0,Project!A24,"")</f>
        <v>CAP (Common AI Platform)</v>
      </c>
      <c r="E21" s="65" t="str">
        <f>IF(Project!A25&gt;0,Project!A25,"")</f>
        <v>PromptPlus</v>
      </c>
      <c r="F21" s="64" t="str">
        <f>IF(Project!A26&gt;0,Project!A26,"")</f>
        <v>WeShape platform</v>
      </c>
    </row>
    <row r="22" spans="1:20" x14ac:dyDescent="0.2">
      <c r="A22" s="58" t="str">
        <f>IF(Project!B21&gt;0,Project!B21,"")</f>
        <v>Presale</v>
      </c>
      <c r="B22" s="61">
        <f>IF(Project!B22&gt;0,Project!B22,"")</f>
        <v>36</v>
      </c>
      <c r="C22" s="62">
        <f>IF(Project!B23&gt;0,Project!B23,"")</f>
        <v>2.7</v>
      </c>
      <c r="D22" s="63" t="str">
        <f>IF(Project!B24&gt;0,Project!B24,"")</f>
        <v/>
      </c>
      <c r="E22" s="65" t="str">
        <f>IF(Project!B25&gt;0,Project!B25,"")</f>
        <v/>
      </c>
      <c r="F22" s="64">
        <f>IF(Project!B26&gt;0,Project!B26,"")</f>
        <v>0.8</v>
      </c>
    </row>
    <row r="23" spans="1:20" x14ac:dyDescent="0.2">
      <c r="A23" s="58" t="str">
        <f>IF(Project!C21&gt;0,Project!C21,"")</f>
        <v>Project</v>
      </c>
      <c r="B23" s="61" t="str">
        <f>IF(Project!C22&gt;0,Project!C22,"")</f>
        <v/>
      </c>
      <c r="C23" s="62">
        <f>IF(Project!C23&gt;0,Project!C23,"")</f>
        <v>154.05000000000001</v>
      </c>
      <c r="D23" s="63">
        <f>IF(Project!C24&gt;0,Project!C24,"")</f>
        <v>63.6</v>
      </c>
      <c r="E23" s="65">
        <f>IF(Project!C25&gt;0,Project!C25,"")</f>
        <v>27.375</v>
      </c>
      <c r="F23" s="64" t="str">
        <f>IF(Project!C26&gt;0,Project!C26,"")</f>
        <v/>
      </c>
    </row>
    <row r="24" spans="1:20" x14ac:dyDescent="0.2">
      <c r="A24" s="58" t="str">
        <f>IF(Project!D21&gt;0,Project!D21,"")</f>
        <v>TM</v>
      </c>
      <c r="B24" s="61" t="str">
        <f>IF(Project!D22&gt;0,Project!D22,"")</f>
        <v/>
      </c>
      <c r="C24" s="62">
        <f>IF(Project!D23&gt;0,Project!D23,"")</f>
        <v>5.13</v>
      </c>
      <c r="D24" s="63" t="str">
        <f>IF(Project!D24&gt;0,Project!D24,"")</f>
        <v/>
      </c>
      <c r="E24" s="65" t="str">
        <f>IF(Project!D25&gt;0,Project!D25,"")</f>
        <v/>
      </c>
      <c r="F24" s="64" t="str">
        <f>IF(Project!D26&gt;0,Project!D26,"")</f>
        <v/>
      </c>
    </row>
    <row r="25" spans="1:20" x14ac:dyDescent="0.2">
      <c r="A25" s="58" t="str">
        <f>IF(Project!E21&gt;0,Project!E21,"")</f>
        <v>Infra</v>
      </c>
      <c r="B25" s="61" t="str">
        <f>IF(Project!E22&gt;0,Project!E22,"")</f>
        <v/>
      </c>
      <c r="C25" s="62">
        <f>IF(Project!E23&gt;0,Project!E23,"")</f>
        <v>0.9</v>
      </c>
      <c r="D25" s="63" t="str">
        <f>IF(Project!E24&gt;0,Project!E24,"")</f>
        <v/>
      </c>
      <c r="E25" s="65" t="str">
        <f>IF(Project!E25&gt;0,Project!E25,"")</f>
        <v/>
      </c>
      <c r="F25" s="64" t="str">
        <f>IF(Project!E26&gt;0,Project!E26,"")</f>
        <v/>
      </c>
    </row>
    <row r="26" spans="1:20" x14ac:dyDescent="0.2">
      <c r="A26" s="58" t="str">
        <f>IF(Project!F21&gt;0,Project!F21,"")</f>
        <v>Spatial Lab</v>
      </c>
      <c r="B26" s="61" t="str">
        <f>IF(Project!F22&gt;0,Project!F22,"")</f>
        <v/>
      </c>
      <c r="C26" s="62" t="str">
        <f>IF(Project!F23&gt;0,Project!F23,"")</f>
        <v/>
      </c>
      <c r="D26" s="63" t="str">
        <f>IF(Project!F24&gt;0,Project!F24,"")</f>
        <v/>
      </c>
      <c r="E26" s="65" t="str">
        <f>IF(Project!F25&gt;0,Project!F25,"")</f>
        <v/>
      </c>
      <c r="F26" s="64">
        <f>IF(Project!F26&gt;0,Project!F26,"")</f>
        <v>34.655000000000001</v>
      </c>
    </row>
    <row r="27" spans="1:20" x14ac:dyDescent="0.2">
      <c r="A27" s="58" t="str">
        <f>IF(Project!G21&gt;0,Project!G21,"")</f>
        <v>Warmbody</v>
      </c>
      <c r="B27" s="61">
        <f>IF(Project!G22&gt;0,Project!G22,"")</f>
        <v>180</v>
      </c>
      <c r="C27" s="62" t="str">
        <f>IF(Project!G23&gt;0,Project!G23,"")</f>
        <v/>
      </c>
      <c r="D27" s="63" t="str">
        <f>IF(Project!G24&gt;0,Project!G24,"")</f>
        <v/>
      </c>
      <c r="E27" s="65">
        <f>IF(Project!G25&gt;0,Project!G25,"")</f>
        <v>23.7</v>
      </c>
      <c r="F27" s="64" t="str">
        <f>IF(Project!G26&gt;0,Project!G26,"")</f>
        <v/>
      </c>
    </row>
    <row r="28" spans="1:20" x14ac:dyDescent="0.2">
      <c r="A28" s="58" t="s">
        <v>129</v>
      </c>
      <c r="B28" s="61">
        <f>IF(Project!H22&gt;0,Project!H22,"")</f>
        <v>216</v>
      </c>
      <c r="C28" s="62">
        <f>IF(Project!H23&gt;0,Project!H23,"")</f>
        <v>162.78</v>
      </c>
      <c r="D28" s="63">
        <f>IF(Project!H24&gt;0,Project!H24,"")</f>
        <v>63.6</v>
      </c>
      <c r="E28" s="65">
        <f>IF(Project!H25&gt;0,Project!H25,"")</f>
        <v>51.075000000000003</v>
      </c>
      <c r="F28" s="64">
        <f>IF(Project!H26&gt;0,Project!H26,"")</f>
        <v>35.454999999999998</v>
      </c>
    </row>
    <row r="29" spans="1:20" x14ac:dyDescent="0.2">
      <c r="A29" s="58"/>
    </row>
    <row r="31" spans="1:20" x14ac:dyDescent="0.2">
      <c r="A31" s="58" t="s">
        <v>138</v>
      </c>
      <c r="B31" s="58" t="str">
        <f>Project!B30</f>
        <v>JAN</v>
      </c>
      <c r="C31" s="58" t="str">
        <f>Project!C30</f>
        <v>FEB</v>
      </c>
      <c r="D31" s="58" t="str">
        <f>Project!D30</f>
        <v>MAR</v>
      </c>
      <c r="E31" s="58" t="str">
        <f>Project!E30</f>
        <v>APR</v>
      </c>
      <c r="F31" s="58" t="str">
        <f>Project!F30</f>
        <v>MAY</v>
      </c>
      <c r="G31" s="58" t="str">
        <f>Project!G30</f>
        <v>JUN</v>
      </c>
      <c r="H31" s="58" t="str">
        <f>Project!H30</f>
        <v>JUL</v>
      </c>
      <c r="I31" s="58" t="str">
        <f>Project!I30</f>
        <v>AUG</v>
      </c>
      <c r="J31" s="58" t="str">
        <f>Project!J30</f>
        <v>SEP</v>
      </c>
      <c r="K31" s="58" t="str">
        <f>Project!K30</f>
        <v>OCT</v>
      </c>
      <c r="L31" s="58" t="str">
        <f>Project!L30</f>
        <v>NOV</v>
      </c>
      <c r="M31" s="58" t="str">
        <f>Project!M30</f>
        <v>DEC</v>
      </c>
    </row>
    <row r="32" spans="1:20" x14ac:dyDescent="0.2">
      <c r="A32" t="str">
        <f>Project!A31</f>
        <v>Plan</v>
      </c>
      <c r="B32">
        <f>(Project!B31)/1000000</f>
        <v>2.7174330000000002</v>
      </c>
      <c r="C32">
        <f>(Project!C31)/1000000</f>
        <v>6.2094329999999998</v>
      </c>
      <c r="D32">
        <f>(Project!D31)/1000000</f>
        <v>13.563433</v>
      </c>
      <c r="E32">
        <f>(Project!E31)/1000000</f>
        <v>7.2334329999999998</v>
      </c>
      <c r="F32">
        <f>(Project!F31)/1000000</f>
        <v>7.4064329999999998</v>
      </c>
      <c r="G32">
        <f>(Project!G31)/1000000</f>
        <v>19.319433</v>
      </c>
      <c r="H32">
        <f>(Project!H31)/1000000</f>
        <v>13.479433</v>
      </c>
      <c r="I32">
        <f>(Project!I31)/1000000</f>
        <v>10.679433</v>
      </c>
      <c r="J32">
        <f>(Project!J31)/1000000</f>
        <v>18.089433</v>
      </c>
      <c r="K32">
        <f>(Project!K31)/1000000</f>
        <v>16.179433</v>
      </c>
      <c r="L32">
        <f>(Project!L31)/1000000</f>
        <v>14.539433000000001</v>
      </c>
      <c r="M32">
        <f>(Project!M31)/1000000</f>
        <v>19.853232999999999</v>
      </c>
    </row>
    <row r="33" spans="1:13" x14ac:dyDescent="0.2">
      <c r="A33" t="str">
        <f>Project!A34</f>
        <v>Actual</v>
      </c>
      <c r="B33">
        <f>(Project!B34)/1000000</f>
        <v>1.0499080000000001</v>
      </c>
      <c r="C33">
        <f>(Project!C34)/1000000</f>
        <v>6.1559889999999999</v>
      </c>
      <c r="D33">
        <f>(Project!D34)/1000000</f>
        <v>9.0943710000000006</v>
      </c>
      <c r="E33">
        <f>(Project!E34)/1000000</f>
        <v>6.3080249999999998</v>
      </c>
    </row>
    <row r="34" spans="1:13" x14ac:dyDescent="0.2">
      <c r="A34" t="str">
        <f>Project!A32</f>
        <v>Plan-PS</v>
      </c>
      <c r="B34">
        <f>(Project!B32)/1000000</f>
        <v>1.787433</v>
      </c>
      <c r="C34">
        <f>(Project!C32)/1000000</f>
        <v>4.779433</v>
      </c>
      <c r="D34">
        <f>(Project!D32)/1000000</f>
        <v>7.8334330000000003</v>
      </c>
      <c r="E34">
        <f>(Project!E32)/1000000</f>
        <v>5.2334329999999998</v>
      </c>
      <c r="F34">
        <f>(Project!F32)/1000000</f>
        <v>4.2064329999999996</v>
      </c>
      <c r="G34">
        <f>(Project!G32)/1000000</f>
        <v>14.379433000000001</v>
      </c>
      <c r="H34">
        <f>(Project!H32)/1000000</f>
        <v>9.2794329999999992</v>
      </c>
      <c r="I34">
        <f>(Project!I32)/1000000</f>
        <v>6.279433</v>
      </c>
      <c r="J34">
        <f>(Project!J32)/1000000</f>
        <v>10.379433000000001</v>
      </c>
      <c r="K34">
        <f>(Project!K32)/1000000</f>
        <v>11.279432999999999</v>
      </c>
      <c r="L34">
        <f>(Project!L32)/1000000</f>
        <v>4.3794329999999997</v>
      </c>
      <c r="M34">
        <f>(Project!M32)/1000000</f>
        <v>10.453233000000001</v>
      </c>
    </row>
    <row r="35" spans="1:13" x14ac:dyDescent="0.2">
      <c r="A35" t="str">
        <f>Project!A35</f>
        <v>Actual-PS</v>
      </c>
      <c r="B35">
        <f>(Project!B35)/1000000</f>
        <v>1.002658</v>
      </c>
      <c r="C35">
        <f>(Project!C35)/1000000</f>
        <v>5.7100929999999996</v>
      </c>
      <c r="D35">
        <f>(Project!D35)/1000000</f>
        <v>8.5445049999999991</v>
      </c>
      <c r="E35">
        <f>(Project!E35)/1000000</f>
        <v>4.8552479999999996</v>
      </c>
    </row>
    <row r="36" spans="1:13" x14ac:dyDescent="0.2">
      <c r="A36" t="str">
        <f>Project!A33</f>
        <v>Plan-PD</v>
      </c>
      <c r="B36">
        <f>(Project!B33)/1000000</f>
        <v>0.93</v>
      </c>
      <c r="C36">
        <f>(Project!C33)/1000000</f>
        <v>1.43</v>
      </c>
      <c r="D36">
        <f>(Project!D33)/1000000</f>
        <v>5.73</v>
      </c>
      <c r="E36">
        <f>(Project!E33)/1000000</f>
        <v>2</v>
      </c>
      <c r="F36">
        <f>(Project!F33)/1000000</f>
        <v>3.2</v>
      </c>
      <c r="G36">
        <f>(Project!G33)/1000000</f>
        <v>4.9400000000000004</v>
      </c>
      <c r="H36">
        <f>(Project!H33)/1000000</f>
        <v>4.2</v>
      </c>
      <c r="I36">
        <f>(Project!I33)/1000000</f>
        <v>4.4000000000000004</v>
      </c>
      <c r="J36">
        <f>(Project!J33)/1000000</f>
        <v>7.71</v>
      </c>
      <c r="K36">
        <f>(Project!K33)/1000000</f>
        <v>4.9000000000000004</v>
      </c>
      <c r="L36">
        <f>(Project!L33)/1000000</f>
        <v>10.16</v>
      </c>
      <c r="M36">
        <f>(Project!M33)/1000000</f>
        <v>9.4</v>
      </c>
    </row>
    <row r="37" spans="1:13" x14ac:dyDescent="0.2">
      <c r="A37" t="str">
        <f>Project!A36</f>
        <v>Actual-PD</v>
      </c>
      <c r="B37">
        <f>(Project!B36)/1000000</f>
        <v>4.725E-2</v>
      </c>
      <c r="C37">
        <f>(Project!C36)/1000000</f>
        <v>0.44589600000000001</v>
      </c>
      <c r="D37">
        <f>(Project!D36)/1000000</f>
        <v>0.54986599999999997</v>
      </c>
      <c r="E37">
        <f>(Project!E36)/1000000</f>
        <v>1.452777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2026-05-19T18:56:38Z</dcterms:modified>
</cp:coreProperties>
</file>