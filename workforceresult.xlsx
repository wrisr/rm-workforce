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7675D964-8ACC-2A4D-A466-0049CC9290EC}" xr6:coauthVersionLast="47" xr6:coauthVersionMax="47" xr10:uidLastSave="{00000000-0000-0000-0000-000000000000}"/>
  <bookViews>
    <workbookView xWindow="9320" yWindow="7920" windowWidth="28360" windowHeight="12340" activeTab="1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definedNames>
    <definedName name="_xlchart.v1.0" hidden="1">Project!$A$31</definedName>
    <definedName name="_xlchart.v1.1" hidden="1">Project!$A$32</definedName>
    <definedName name="_xlchart.v1.10" hidden="1">Project!$B$34:$M$34</definedName>
    <definedName name="_xlchart.v1.11" hidden="1">Project!$B$35:$M$35</definedName>
    <definedName name="_xlchart.v1.12" hidden="1">Project!$B$36:$M$36</definedName>
    <definedName name="_xlchart.v1.2" hidden="1">Project!$A$33</definedName>
    <definedName name="_xlchart.v1.3" hidden="1">Project!$A$34</definedName>
    <definedName name="_xlchart.v1.4" hidden="1">Project!$A$35</definedName>
    <definedName name="_xlchart.v1.5" hidden="1">Project!$A$36</definedName>
    <definedName name="_xlchart.v1.6" hidden="1">Project!$B$30:$M$30</definedName>
    <definedName name="_xlchart.v1.7" hidden="1">Project!$B$31:$M$31</definedName>
    <definedName name="_xlchart.v1.8" hidden="1">Project!$B$32:$M$32</definedName>
    <definedName name="_xlchart.v1.9" hidden="1">Project!$B$33:$M$33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4" l="1"/>
  <c r="C37" i="14"/>
  <c r="D37" i="14"/>
  <c r="E37" i="14"/>
  <c r="A37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A36" i="14"/>
  <c r="B35" i="14"/>
  <c r="C35" i="14"/>
  <c r="D35" i="14"/>
  <c r="E35" i="14"/>
  <c r="A35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A34" i="14"/>
  <c r="B33" i="14"/>
  <c r="C33" i="14"/>
  <c r="D33" i="14"/>
  <c r="E33" i="14"/>
  <c r="A33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A32" i="14"/>
  <c r="C34" i="13"/>
  <c r="D34" i="13"/>
  <c r="E34" i="13"/>
  <c r="B34" i="13"/>
  <c r="B31" i="13"/>
  <c r="C31" i="13"/>
  <c r="D31" i="13"/>
  <c r="E31" i="13"/>
  <c r="F31" i="13"/>
  <c r="G31" i="13"/>
  <c r="H31" i="13"/>
  <c r="I31" i="13"/>
  <c r="J31" i="13"/>
  <c r="K31" i="13"/>
  <c r="L31" i="13"/>
  <c r="M31" i="13"/>
  <c r="E163" i="3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B136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B54" i="4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F76" i="12"/>
  <c r="E76" i="12"/>
  <c r="D76" i="12"/>
  <c r="C76" i="12"/>
  <c r="B76" i="12"/>
  <c r="A76" i="12"/>
  <c r="F75" i="12"/>
  <c r="E75" i="12"/>
  <c r="D75" i="12"/>
  <c r="C75" i="12"/>
  <c r="B75" i="12"/>
  <c r="F66" i="12"/>
  <c r="E66" i="12"/>
  <c r="D66" i="12"/>
  <c r="C66" i="12"/>
  <c r="B66" i="12"/>
  <c r="A66" i="12"/>
  <c r="F65" i="12"/>
  <c r="E65" i="12"/>
  <c r="D65" i="12"/>
  <c r="C65" i="12"/>
  <c r="B65" i="12"/>
  <c r="F56" i="12"/>
  <c r="E56" i="12"/>
  <c r="D56" i="12"/>
  <c r="C56" i="12"/>
  <c r="B56" i="12"/>
  <c r="A56" i="12"/>
  <c r="F55" i="12"/>
  <c r="E55" i="12"/>
  <c r="D55" i="12"/>
  <c r="C55" i="12"/>
  <c r="B55" i="12"/>
  <c r="B96" i="10"/>
  <c r="A96" i="10"/>
  <c r="F95" i="10"/>
  <c r="E95" i="10"/>
  <c r="D95" i="10"/>
  <c r="C95" i="10"/>
  <c r="B95" i="10"/>
  <c r="F86" i="10"/>
  <c r="E86" i="10"/>
  <c r="D86" i="10"/>
  <c r="C86" i="10"/>
  <c r="B86" i="10"/>
  <c r="A86" i="10"/>
  <c r="F85" i="10"/>
  <c r="E85" i="10"/>
  <c r="D85" i="10"/>
  <c r="C85" i="10"/>
  <c r="B85" i="10"/>
  <c r="F76" i="10"/>
  <c r="E76" i="10"/>
  <c r="D76" i="10"/>
  <c r="C76" i="10"/>
  <c r="B76" i="10"/>
  <c r="A76" i="10"/>
  <c r="F75" i="10"/>
  <c r="E75" i="10"/>
  <c r="D75" i="10"/>
  <c r="C75" i="10"/>
  <c r="B75" i="10"/>
  <c r="F66" i="10"/>
  <c r="E66" i="10"/>
  <c r="D66" i="10"/>
  <c r="C66" i="10"/>
  <c r="B66" i="10"/>
  <c r="A66" i="10"/>
  <c r="F65" i="10"/>
  <c r="E65" i="10"/>
  <c r="D65" i="10"/>
  <c r="C65" i="10"/>
  <c r="B65" i="10"/>
  <c r="F56" i="10"/>
  <c r="E56" i="10"/>
  <c r="D56" i="10"/>
  <c r="C56" i="10"/>
  <c r="B56" i="10"/>
  <c r="A56" i="10"/>
  <c r="F55" i="10"/>
  <c r="E55" i="10"/>
  <c r="D55" i="10"/>
  <c r="C55" i="10"/>
  <c r="B55" i="10"/>
  <c r="F136" i="8"/>
  <c r="E136" i="8"/>
  <c r="D136" i="8"/>
  <c r="C136" i="8"/>
  <c r="A136" i="8"/>
  <c r="F135" i="8"/>
  <c r="E135" i="8"/>
  <c r="D135" i="8"/>
  <c r="C135" i="8"/>
  <c r="B135" i="8"/>
  <c r="F126" i="8"/>
  <c r="E126" i="8"/>
  <c r="D126" i="8"/>
  <c r="C126" i="8"/>
  <c r="B126" i="8"/>
  <c r="A126" i="8"/>
  <c r="F125" i="8"/>
  <c r="E125" i="8"/>
  <c r="D125" i="8"/>
  <c r="C125" i="8"/>
  <c r="B125" i="8"/>
  <c r="F116" i="8"/>
  <c r="E116" i="8"/>
  <c r="D116" i="8"/>
  <c r="C116" i="8"/>
  <c r="B116" i="8"/>
  <c r="A116" i="8"/>
  <c r="F115" i="8"/>
  <c r="E115" i="8"/>
  <c r="D115" i="8"/>
  <c r="C115" i="8"/>
  <c r="B115" i="8"/>
  <c r="F106" i="8"/>
  <c r="E106" i="8"/>
  <c r="D106" i="8"/>
  <c r="C106" i="8"/>
  <c r="B106" i="8"/>
  <c r="A106" i="8"/>
  <c r="F105" i="8"/>
  <c r="E105" i="8"/>
  <c r="D105" i="8"/>
  <c r="C105" i="8"/>
  <c r="B105" i="8"/>
  <c r="F96" i="8"/>
  <c r="E96" i="8"/>
  <c r="D96" i="8"/>
  <c r="C96" i="8"/>
  <c r="B96" i="8"/>
  <c r="A96" i="8"/>
  <c r="F95" i="8"/>
  <c r="E95" i="8"/>
  <c r="D95" i="8"/>
  <c r="C95" i="8"/>
  <c r="B95" i="8"/>
  <c r="F86" i="8"/>
  <c r="E86" i="8"/>
  <c r="D86" i="8"/>
  <c r="C86" i="8"/>
  <c r="B86" i="8"/>
  <c r="A86" i="8"/>
  <c r="F85" i="8"/>
  <c r="E85" i="8"/>
  <c r="D85" i="8"/>
  <c r="C85" i="8"/>
  <c r="B85" i="8"/>
  <c r="F76" i="8"/>
  <c r="E76" i="8"/>
  <c r="D76" i="8"/>
  <c r="C76" i="8"/>
  <c r="B76" i="8"/>
  <c r="A76" i="8"/>
  <c r="F75" i="8"/>
  <c r="E75" i="8"/>
  <c r="D75" i="8"/>
  <c r="C75" i="8"/>
  <c r="B75" i="8"/>
  <c r="F66" i="8"/>
  <c r="E66" i="8"/>
  <c r="D66" i="8"/>
  <c r="C66" i="8"/>
  <c r="B66" i="8"/>
  <c r="A66" i="8"/>
  <c r="F65" i="8"/>
  <c r="E65" i="8"/>
  <c r="D65" i="8"/>
  <c r="C65" i="8"/>
  <c r="B65" i="8"/>
  <c r="F56" i="8"/>
  <c r="E56" i="8"/>
  <c r="D56" i="8"/>
  <c r="C56" i="8"/>
  <c r="B56" i="8"/>
  <c r="A56" i="8"/>
  <c r="F55" i="8"/>
  <c r="E55" i="8"/>
  <c r="D55" i="8"/>
  <c r="C55" i="8"/>
  <c r="B55" i="8"/>
  <c r="F66" i="6"/>
  <c r="E66" i="6"/>
  <c r="D66" i="6"/>
  <c r="C66" i="6"/>
  <c r="B66" i="6"/>
  <c r="A66" i="6"/>
  <c r="F65" i="6"/>
  <c r="E65" i="6"/>
  <c r="D65" i="6"/>
  <c r="C65" i="6"/>
  <c r="B65" i="6"/>
  <c r="F56" i="6"/>
  <c r="E56" i="6"/>
  <c r="D56" i="6"/>
  <c r="C56" i="6"/>
  <c r="B56" i="6"/>
  <c r="A56" i="6"/>
  <c r="F55" i="6"/>
  <c r="E55" i="6"/>
  <c r="D55" i="6"/>
  <c r="C55" i="6"/>
  <c r="B55" i="6"/>
  <c r="F66" i="4"/>
  <c r="E66" i="4"/>
  <c r="D66" i="4"/>
  <c r="C66" i="4"/>
  <c r="B66" i="4"/>
  <c r="A66" i="4"/>
  <c r="F65" i="4"/>
  <c r="E65" i="4"/>
  <c r="D65" i="4"/>
  <c r="C65" i="4"/>
  <c r="B65" i="4"/>
  <c r="C55" i="4"/>
  <c r="D55" i="4"/>
  <c r="E55" i="4"/>
  <c r="F55" i="4"/>
  <c r="A56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<sst xmlns="http://schemas.openxmlformats.org/spreadsheetml/2006/main" count="793" uniqueCount="139">
  <si>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</si>
  <si>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</si>
  <si>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</si>
  <si>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</si>
  <si>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</si>
  <si>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</si>
  <si>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</si>
  <si>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</si>
  <si>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</si>
  <si>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</si>
  <si>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</si>
  <si>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</si>
  <si>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</si>
  <si>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</si>
  <si>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</si>
  <si>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</si>
  <si>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</si>
  <si>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</si>
  <si>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</si>
  <si>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</si>
  <si>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</si>
  <si>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</si>
  <si>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</si>
  <si>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</si>
  <si>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</si>
  <si>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</si>
  <si>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</si>
  <si>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</si>
  <si>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</si>
  <si>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</si>
  <si>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</si>
  <si>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</si>
  <si>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</si>
  <si>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</si>
  <si>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</si>
  <si>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</si>
  <si>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</si>
  <si>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</si>
  <si>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</si>
  <si>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</si>
  <si>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</si>
  <si>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</si>
  <si>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</si>
  <si>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</si>
  <si>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</si>
  <si>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</si>
  <si>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</si>
  <si>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</si>
  <si>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</si>
  <si>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</si>
  <si>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</si>
  <si>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</si>
  <si>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</si>
  <si>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</si>
  <si>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</si>
  <si>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</si>
  <si>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</si>
  <si>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</si>
  <si>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</si>
  <si>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</si>
  <si>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</si>
  <si>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</si>
  <si>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</si>
  <si>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</si>
  <si>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</si>
  <si>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</si>
  <si>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</si>
  <si>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</si>
  <si>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</si>
  <si>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</si>
  <si>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</si>
  <si>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</si>
  <si>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</si>
  <si>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</si>
  <si>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</si>
  <si>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</si>
  <si>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</si>
  <si>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</si>
  <si>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</si>
  <si>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</si>
  <si>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</si>
  <si>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</si>
  <si>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</si>
  <si>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</si>
  <si>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</si>
  <si>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</si>
  <si>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</si>
  <si>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</si>
  <si>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</si>
  <si>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</si>
  <si>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</si>
  <si>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</si>
  <si>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</si>
  <si>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</si>
  <si>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</si>
  <si>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</si>
  <si>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</si>
  <si>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</si>
  <si>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</si>
  <si>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</si>
  <si>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</si>
  <si>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</si>
  <si>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</si>
  <si>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</si>
  <si>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</si>
  <si>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</si>
  <si>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</si>
  <si>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</si>
  <si>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</si>
  <si>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</si>
  <si>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</si>
  <si>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</si>
  <si>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</si>
  <si>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</si>
  <si>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</si>
  <si>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</si>
  <si>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</si>
  <si>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</si>
  <si>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</si>
  <si>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</si>
  <si>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</si>
  <si>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</si>
  <si>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</si>
  <si>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</si>
  <si>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</si>
  <si>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</si>
  <si>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</si>
  <si>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</si>
  <si>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</si>
  <si>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</si>
  <si>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</si>
  <si>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</si>
  <si>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</si>
  <si>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</si>
  <si>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</si>
  <si>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</si>
  <si>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</si>
  <si>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</si>
  <si>
    <t>Project Plan and Actual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</si>
</sst>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1" fillId="0" borderId="0" xfId="0" applyFont="1" applyFill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3" fontId="4" fillId="0" borderId="0" xfId="0" applyNumberFormat="1" applyFont="1" applyFill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B24" sqref="B24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131</v>
      </c>
      <c r="C22" s="70">
        <v>11</v>
      </c>
      <c r="D22" s="70">
        <v>11</v>
      </c>
      <c r="E22" s="70">
        <v>11</v>
      </c>
      <c r="F22" s="70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132</v>
      </c>
      <c r="C23" s="71">
        <v>117.04</v>
      </c>
      <c r="D23" s="71">
        <v>125.05</v>
      </c>
      <c r="E23" s="70">
        <v>126.04</v>
      </c>
      <c r="F23" s="70">
        <v>126.8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0" workbookViewId="0">
      <selection activeCell="F166" sqref="F16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150</v>
      </c>
      <c r="G162">
        <f t="shared" si="0"/>
        <v>150</v>
      </c>
      <c r="H162">
        <f t="shared" si="0"/>
        <v>149</v>
      </c>
      <c r="I162">
        <f t="shared" si="0"/>
        <v>149</v>
      </c>
      <c r="J162">
        <f t="shared" si="0"/>
        <v>149</v>
      </c>
      <c r="K162">
        <f t="shared" si="0"/>
        <v>149</v>
      </c>
      <c r="L162">
        <f t="shared" si="0"/>
        <v>149</v>
      </c>
      <c r="M162">
        <f t="shared" si="0"/>
        <v>149</v>
      </c>
      <c r="N162">
        <f t="shared" si="0"/>
        <v>149</v>
      </c>
      <c r="O162">
        <f t="shared" si="0"/>
        <v>149</v>
      </c>
      <c r="P162">
        <f t="shared" si="0"/>
        <v>149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130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130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133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10" activePane="bottomLeft" state="frozen"/>
      <selection pane="bottomLeft" activeCell="C12" sqref="B12:C1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12"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-0.99000000000000021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111.73333333333333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-0.10499999999999998</v>
      </c>
      <c r="G84" s="67">
        <f t="shared" si="6"/>
        <v>-0.125</v>
      </c>
      <c r="H84" s="67">
        <f t="shared" si="6"/>
        <v>-0.125</v>
      </c>
      <c r="I84" s="67">
        <f t="shared" si="6"/>
        <v>-0.125</v>
      </c>
      <c r="J84" s="67">
        <f t="shared" si="6"/>
        <v>0.42499999999999982</v>
      </c>
      <c r="K84" s="67">
        <f t="shared" si="6"/>
        <v>0.125</v>
      </c>
      <c r="L84" s="67">
        <f t="shared" si="6"/>
        <v>7.5000000000000178E-2</v>
      </c>
      <c r="M84" s="67">
        <f t="shared" si="6"/>
        <v>0.375</v>
      </c>
      <c r="N84" s="67">
        <f t="shared" si="6"/>
        <v>2.6</v>
      </c>
      <c r="O84" s="67">
        <f t="shared" si="6"/>
        <v>2.6</v>
      </c>
      <c r="P84" s="67">
        <f t="shared" si="6"/>
        <v>2.6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98.3</v>
      </c>
      <c r="D86" s="59">
        <f>(AVERAGE(H83:J83)/AVERAGE(H82:J82))*100</f>
        <v>98.055555555555557</v>
      </c>
      <c r="E86" s="59">
        <f>(AVERAGE(K83:M83)/AVERAGE(K82:M82))*100</f>
        <v>93.611111111111128</v>
      </c>
      <c r="F86" s="59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E88" sqref="E88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36"/>
  <sheetViews>
    <sheetView workbookViewId="0">
      <pane ySplit="1" topLeftCell="A17" activePane="bottomLeft" state="frozen"/>
      <selection pane="bottomLeft" activeCell="C39" sqref="C39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72"/>
      <c r="O30" s="72"/>
      <c r="P30" s="72"/>
    </row>
    <row r="31" spans="1:17" s="74" customFormat="1" ht="15" x14ac:dyDescent="0.2">
      <c r="A31" s="81" t="s">
        <v>18</v>
      </c>
      <c r="B31" s="75">
        <f>SUM(B32,B33)</f>
        <v>2717433</v>
      </c>
      <c r="C31" s="75">
        <f>SUM(C32,C33)</f>
        <v>6209433</v>
      </c>
      <c r="D31" s="75">
        <f>SUM(D32,D33)</f>
        <v>13563433</v>
      </c>
      <c r="E31" s="75">
        <f>SUM(E32,E33)</f>
        <v>7233433</v>
      </c>
      <c r="F31" s="75">
        <f>SUM(F32,F33)</f>
        <v>7406433</v>
      </c>
      <c r="G31" s="75">
        <f>SUM(G32,G33)</f>
        <v>19319433</v>
      </c>
      <c r="H31" s="75">
        <f>SUM(H32,H33)</f>
        <v>13479433</v>
      </c>
      <c r="I31" s="75">
        <f>SUM(I32,I33)</f>
        <v>10679433</v>
      </c>
      <c r="J31" s="75">
        <f>SUM(J32,J33)</f>
        <v>18089433</v>
      </c>
      <c r="K31" s="75">
        <f>SUM(K32,K33)</f>
        <v>16179433</v>
      </c>
      <c r="L31" s="75">
        <f>SUM(L32,L33)</f>
        <v>14539433</v>
      </c>
      <c r="M31" s="75">
        <f>SUM(M32,M33)</f>
        <v>19853233</v>
      </c>
    </row>
    <row r="32" spans="1:17" s="73" customFormat="1" ht="15" x14ac:dyDescent="0.2">
      <c r="A32" s="78" t="s">
        <v>134</v>
      </c>
      <c r="B32" s="76">
        <v>1787433</v>
      </c>
      <c r="C32" s="76">
        <v>4779433</v>
      </c>
      <c r="D32" s="76">
        <v>7833433</v>
      </c>
      <c r="E32" s="76">
        <v>5233433</v>
      </c>
      <c r="F32" s="76">
        <v>4206433</v>
      </c>
      <c r="G32" s="76">
        <v>14379433</v>
      </c>
      <c r="H32" s="76">
        <v>9279433</v>
      </c>
      <c r="I32" s="76">
        <v>6279433</v>
      </c>
      <c r="J32" s="76">
        <v>10379433</v>
      </c>
      <c r="K32" s="76">
        <v>11279433</v>
      </c>
      <c r="L32" s="76">
        <v>4379433</v>
      </c>
      <c r="M32" s="76">
        <v>10453233</v>
      </c>
    </row>
    <row r="33" spans="1:13" s="73" customFormat="1" ht="15" x14ac:dyDescent="0.2">
      <c r="A33" s="78" t="s">
        <v>135</v>
      </c>
      <c r="B33" s="76">
        <v>930000</v>
      </c>
      <c r="C33" s="76">
        <v>1430000</v>
      </c>
      <c r="D33" s="76">
        <v>5730000</v>
      </c>
      <c r="E33" s="76">
        <v>2000000</v>
      </c>
      <c r="F33" s="76">
        <v>3200000</v>
      </c>
      <c r="G33" s="76">
        <v>4940000</v>
      </c>
      <c r="H33" s="76">
        <v>4200000</v>
      </c>
      <c r="I33" s="76">
        <v>4400000</v>
      </c>
      <c r="J33" s="76">
        <v>7710000</v>
      </c>
      <c r="K33" s="76">
        <v>4900000</v>
      </c>
      <c r="L33" s="76">
        <v>10160000</v>
      </c>
      <c r="M33" s="76">
        <v>9400000</v>
      </c>
    </row>
    <row r="34" spans="1:13" s="74" customFormat="1" ht="15" x14ac:dyDescent="0.2">
      <c r="A34" s="80" t="s">
        <v>130</v>
      </c>
      <c r="B34" s="75">
        <f>SUM(B35,B36)</f>
        <v>1049908</v>
      </c>
      <c r="C34" s="75">
        <f t="shared" ref="C34:E34" si="0">SUM(C35,C36)</f>
        <v>6155989</v>
      </c>
      <c r="D34" s="75">
        <f t="shared" si="0"/>
        <v>9094371</v>
      </c>
      <c r="E34" s="75">
        <f t="shared" si="0"/>
        <v>6308025</v>
      </c>
    </row>
    <row r="35" spans="1:13" s="73" customFormat="1" ht="15" x14ac:dyDescent="0.2">
      <c r="A35" s="79" t="s">
        <v>136</v>
      </c>
      <c r="B35" s="77">
        <v>1002658</v>
      </c>
      <c r="C35" s="77">
        <v>5710093</v>
      </c>
      <c r="D35" s="77">
        <v>8544505</v>
      </c>
      <c r="E35" s="77">
        <v>4855248</v>
      </c>
    </row>
    <row r="36" spans="1:13" s="73" customFormat="1" ht="15" x14ac:dyDescent="0.2">
      <c r="A36" s="79" t="s">
        <v>137</v>
      </c>
      <c r="B36" s="77">
        <v>47250</v>
      </c>
      <c r="C36" s="77">
        <v>445896</v>
      </c>
      <c r="D36" s="77">
        <v>549866</v>
      </c>
      <c r="E36" s="77">
        <v>1452777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37"/>
  <sheetViews>
    <sheetView tabSelected="1" topLeftCell="A22" workbookViewId="0">
      <selection activeCell="H41" sqref="H41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 t="str">
        <f>IF(Project!G26&gt;0,Project!G26,"")</f>
        <v/>
      </c>
    </row>
    <row r="28" spans="1:20" x14ac:dyDescent="0.2">
      <c r="A28" s="58" t="s">
        <v>129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 t="s">
        <v>138</v>
      </c>
      <c r="B31" s="58" t="str">
        <f>Project!B30</f>
        <v>JAN</v>
      </c>
      <c r="C31" s="58" t="str">
        <f>Project!C30</f>
        <v>FEB</v>
      </c>
      <c r="D31" s="58" t="str">
        <f>Project!D30</f>
        <v>MAR</v>
      </c>
      <c r="E31" s="58" t="str">
        <f>Project!E30</f>
        <v>APR</v>
      </c>
      <c r="F31" s="58" t="str">
        <f>Project!F30</f>
        <v>MAY</v>
      </c>
      <c r="G31" s="58" t="str">
        <f>Project!G30</f>
        <v>JUN</v>
      </c>
      <c r="H31" s="58" t="str">
        <f>Project!H30</f>
        <v>JUL</v>
      </c>
      <c r="I31" s="58" t="str">
        <f>Project!I30</f>
        <v>AUG</v>
      </c>
      <c r="J31" s="58" t="str">
        <f>Project!J30</f>
        <v>SEP</v>
      </c>
      <c r="K31" s="58" t="str">
        <f>Project!K30</f>
        <v>OCT</v>
      </c>
      <c r="L31" s="58" t="str">
        <f>Project!L30</f>
        <v>NOV</v>
      </c>
      <c r="M31" s="58" t="str">
        <f>Project!M30</f>
        <v>DEC</v>
      </c>
    </row>
    <row r="32" spans="1:20" x14ac:dyDescent="0.2">
      <c r="A32" t="str">
        <f>Project!A31</f>
        <v>Plan</v>
      </c>
      <c r="B32">
        <f>Project!B31</f>
        <v>2717433</v>
      </c>
      <c r="C32">
        <f>Project!C31</f>
        <v>6209433</v>
      </c>
      <c r="D32">
        <f>Project!D31</f>
        <v>13563433</v>
      </c>
      <c r="E32">
        <f>Project!E31</f>
        <v>7233433</v>
      </c>
      <c r="F32">
        <f>Project!F31</f>
        <v>7406433</v>
      </c>
      <c r="G32">
        <f>Project!G31</f>
        <v>19319433</v>
      </c>
      <c r="H32">
        <f>Project!H31</f>
        <v>13479433</v>
      </c>
      <c r="I32">
        <f>Project!I31</f>
        <v>10679433</v>
      </c>
      <c r="J32">
        <f>Project!J31</f>
        <v>18089433</v>
      </c>
      <c r="K32">
        <f>Project!K31</f>
        <v>16179433</v>
      </c>
      <c r="L32">
        <f>Project!L31</f>
        <v>14539433</v>
      </c>
      <c r="M32">
        <f>Project!M31</f>
        <v>19853233</v>
      </c>
    </row>
    <row r="33" spans="1:13" x14ac:dyDescent="0.2">
      <c r="A33" t="str">
        <f>Project!A34</f>
        <v>Actual</v>
      </c>
      <c r="B33">
        <f>Project!B34</f>
        <v>1049908</v>
      </c>
      <c r="C33">
        <f>Project!C34</f>
        <v>6155989</v>
      </c>
      <c r="D33">
        <f>Project!D34</f>
        <v>9094371</v>
      </c>
      <c r="E33">
        <f>Project!E34</f>
        <v>6308025</v>
      </c>
    </row>
    <row r="34" spans="1:13" x14ac:dyDescent="0.2">
      <c r="A34" t="str">
        <f>Project!A32</f>
        <v>Plan-PS</v>
      </c>
      <c r="B34">
        <f>Project!B32</f>
        <v>1787433</v>
      </c>
      <c r="C34">
        <f>Project!C32</f>
        <v>4779433</v>
      </c>
      <c r="D34">
        <f>Project!D32</f>
        <v>7833433</v>
      </c>
      <c r="E34">
        <f>Project!E32</f>
        <v>5233433</v>
      </c>
      <c r="F34">
        <f>Project!F32</f>
        <v>4206433</v>
      </c>
      <c r="G34">
        <f>Project!G32</f>
        <v>14379433</v>
      </c>
      <c r="H34">
        <f>Project!H32</f>
        <v>9279433</v>
      </c>
      <c r="I34">
        <f>Project!I32</f>
        <v>6279433</v>
      </c>
      <c r="J34">
        <f>Project!J32</f>
        <v>10379433</v>
      </c>
      <c r="K34">
        <f>Project!K32</f>
        <v>11279433</v>
      </c>
      <c r="L34">
        <f>Project!L32</f>
        <v>4379433</v>
      </c>
      <c r="M34">
        <f>Project!M32</f>
        <v>10453233</v>
      </c>
    </row>
    <row r="35" spans="1:13" x14ac:dyDescent="0.2">
      <c r="A35" t="str">
        <f>Project!A35</f>
        <v>Actual-PS</v>
      </c>
      <c r="B35">
        <f>Project!B35</f>
        <v>1002658</v>
      </c>
      <c r="C35">
        <f>Project!C35</f>
        <v>5710093</v>
      </c>
      <c r="D35">
        <f>Project!D35</f>
        <v>8544505</v>
      </c>
      <c r="E35">
        <f>Project!E35</f>
        <v>4855248</v>
      </c>
    </row>
    <row r="36" spans="1:13" x14ac:dyDescent="0.2">
      <c r="A36" t="str">
        <f>Project!A33</f>
        <v>Plan-PD</v>
      </c>
      <c r="B36">
        <f>Project!B33</f>
        <v>930000</v>
      </c>
      <c r="C36">
        <f>Project!C33</f>
        <v>1430000</v>
      </c>
      <c r="D36">
        <f>Project!D33</f>
        <v>5730000</v>
      </c>
      <c r="E36">
        <f>Project!E33</f>
        <v>2000000</v>
      </c>
      <c r="F36">
        <f>Project!F33</f>
        <v>3200000</v>
      </c>
      <c r="G36">
        <f>Project!G33</f>
        <v>4940000</v>
      </c>
      <c r="H36">
        <f>Project!H33</f>
        <v>4200000</v>
      </c>
      <c r="I36">
        <f>Project!I33</f>
        <v>4400000</v>
      </c>
      <c r="J36">
        <f>Project!J33</f>
        <v>7710000</v>
      </c>
      <c r="K36">
        <f>Project!K33</f>
        <v>4900000</v>
      </c>
      <c r="L36">
        <f>Project!L33</f>
        <v>10160000</v>
      </c>
      <c r="M36">
        <f>Project!M33</f>
        <v>9400000</v>
      </c>
    </row>
    <row r="37" spans="1:13" x14ac:dyDescent="0.2">
      <c r="A37" t="str">
        <f>Project!A36</f>
        <v>Actual-PD</v>
      </c>
      <c r="B37">
        <f>Project!B36</f>
        <v>47250</v>
      </c>
      <c r="C37">
        <f>Project!C36</f>
        <v>445896</v>
      </c>
      <c r="D37">
        <f>Project!D36</f>
        <v>549866</v>
      </c>
      <c r="E37">
        <f>Project!E36</f>
        <v>1452777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2026-05-19T18:43:30Z</dcterms:modified>
</cp:coreProperties>
</file>