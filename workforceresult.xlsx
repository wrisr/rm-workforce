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esktop/"/>
    </mc:Choice>
  </mc:AlternateContent>
  <xr:revisionPtr revIDLastSave="0" documentId="13_ncr:1_{A1F03ACC-3D81-C94C-B03B-FFCE323B397A}" xr6:coauthVersionLast="47" xr6:coauthVersionMax="47" xr10:uidLastSave="{00000000-0000-0000-0000-000000000000}"/>
  <bookViews>
    <workbookView xWindow="0" yWindow="500" windowWidth="28800" windowHeight="1612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14" l="1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A28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F76" i="12"/>
  <c r="E76" i="12"/>
  <c r="D76" i="12"/>
  <c r="C76" i="12"/>
  <c r="B76" i="12"/>
  <c r="A76" i="12"/>
  <c r="F75" i="12"/>
  <c r="E75" i="12"/>
  <c r="D75" i="12"/>
  <c r="C75" i="12"/>
  <c r="B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F66" i="12"/>
  <c r="E66" i="12"/>
  <c r="D66" i="12"/>
  <c r="C66" i="12"/>
  <c r="B66" i="12"/>
  <c r="A66" i="12"/>
  <c r="F65" i="12"/>
  <c r="E65" i="12"/>
  <c r="D65" i="12"/>
  <c r="C65" i="12"/>
  <c r="B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F56" i="12"/>
  <c r="E56" i="12"/>
  <c r="D56" i="12"/>
  <c r="C56" i="12"/>
  <c r="B56" i="12"/>
  <c r="A56" i="12"/>
  <c r="F55" i="12"/>
  <c r="E55" i="12"/>
  <c r="D55" i="12"/>
  <c r="C55" i="12"/>
  <c r="B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F94" i="10"/>
  <c r="G94" i="10"/>
  <c r="H94" i="10"/>
  <c r="I94" i="10"/>
  <c r="J94" i="10"/>
  <c r="K94" i="10"/>
  <c r="L94" i="10"/>
  <c r="M94" i="10"/>
  <c r="N94" i="10"/>
  <c r="O94" i="10"/>
  <c r="P94" i="10"/>
  <c r="E94" i="10"/>
  <c r="B96" i="10"/>
  <c r="A96" i="10"/>
  <c r="F95" i="10"/>
  <c r="E95" i="10"/>
  <c r="D95" i="10"/>
  <c r="C95" i="10"/>
  <c r="B95" i="10"/>
  <c r="D94" i="10"/>
  <c r="C94" i="10"/>
  <c r="B94" i="10"/>
  <c r="A94" i="10"/>
  <c r="F86" i="10"/>
  <c r="E86" i="10"/>
  <c r="D86" i="10"/>
  <c r="C86" i="10"/>
  <c r="B86" i="10"/>
  <c r="A86" i="10"/>
  <c r="F85" i="10"/>
  <c r="E85" i="10"/>
  <c r="D85" i="10"/>
  <c r="C85" i="10"/>
  <c r="B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F76" i="10"/>
  <c r="E76" i="10"/>
  <c r="D76" i="10"/>
  <c r="C76" i="10"/>
  <c r="B76" i="10"/>
  <c r="A76" i="10"/>
  <c r="F75" i="10"/>
  <c r="E75" i="10"/>
  <c r="D75" i="10"/>
  <c r="C75" i="10"/>
  <c r="B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F66" i="10"/>
  <c r="E66" i="10"/>
  <c r="D66" i="10"/>
  <c r="C66" i="10"/>
  <c r="B66" i="10"/>
  <c r="A66" i="10"/>
  <c r="F65" i="10"/>
  <c r="E65" i="10"/>
  <c r="D65" i="10"/>
  <c r="C65" i="10"/>
  <c r="B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F56" i="10"/>
  <c r="E56" i="10"/>
  <c r="D56" i="10"/>
  <c r="C56" i="10"/>
  <c r="B56" i="10"/>
  <c r="A56" i="10"/>
  <c r="F55" i="10"/>
  <c r="E55" i="10"/>
  <c r="D55" i="10"/>
  <c r="C55" i="10"/>
  <c r="B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F136" i="8"/>
  <c r="E136" i="8"/>
  <c r="D136" i="8"/>
  <c r="C136" i="8"/>
  <c r="B136" i="8"/>
  <c r="A136" i="8"/>
  <c r="F135" i="8"/>
  <c r="E135" i="8"/>
  <c r="D135" i="8"/>
  <c r="C135" i="8"/>
  <c r="B135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A134" i="8"/>
  <c r="F126" i="8"/>
  <c r="E126" i="8"/>
  <c r="D126" i="8"/>
  <c r="C126" i="8"/>
  <c r="B126" i="8"/>
  <c r="A126" i="8"/>
  <c r="F125" i="8"/>
  <c r="E125" i="8"/>
  <c r="D125" i="8"/>
  <c r="C125" i="8"/>
  <c r="B125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A124" i="8"/>
  <c r="F116" i="8"/>
  <c r="E116" i="8"/>
  <c r="D116" i="8"/>
  <c r="C116" i="8"/>
  <c r="B116" i="8"/>
  <c r="A116" i="8"/>
  <c r="F115" i="8"/>
  <c r="E115" i="8"/>
  <c r="D115" i="8"/>
  <c r="C115" i="8"/>
  <c r="B115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F106" i="8"/>
  <c r="E106" i="8"/>
  <c r="D106" i="8"/>
  <c r="C106" i="8"/>
  <c r="B106" i="8"/>
  <c r="A106" i="8"/>
  <c r="F105" i="8"/>
  <c r="E105" i="8"/>
  <c r="D105" i="8"/>
  <c r="C105" i="8"/>
  <c r="B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F96" i="8"/>
  <c r="E96" i="8"/>
  <c r="D96" i="8"/>
  <c r="C96" i="8"/>
  <c r="B96" i="8"/>
  <c r="A96" i="8"/>
  <c r="F95" i="8"/>
  <c r="E95" i="8"/>
  <c r="D95" i="8"/>
  <c r="C95" i="8"/>
  <c r="B95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F86" i="8"/>
  <c r="E86" i="8"/>
  <c r="D86" i="8"/>
  <c r="C86" i="8"/>
  <c r="B86" i="8"/>
  <c r="A86" i="8"/>
  <c r="F85" i="8"/>
  <c r="E85" i="8"/>
  <c r="D85" i="8"/>
  <c r="C85" i="8"/>
  <c r="B85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F76" i="8"/>
  <c r="E76" i="8"/>
  <c r="D76" i="8"/>
  <c r="C76" i="8"/>
  <c r="B76" i="8"/>
  <c r="A76" i="8"/>
  <c r="F75" i="8"/>
  <c r="E75" i="8"/>
  <c r="D75" i="8"/>
  <c r="C75" i="8"/>
  <c r="B75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F66" i="8"/>
  <c r="E66" i="8"/>
  <c r="D66" i="8"/>
  <c r="C66" i="8"/>
  <c r="B66" i="8"/>
  <c r="A66" i="8"/>
  <c r="F65" i="8"/>
  <c r="E65" i="8"/>
  <c r="D65" i="8"/>
  <c r="C65" i="8"/>
  <c r="B65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F56" i="8"/>
  <c r="E56" i="8"/>
  <c r="D56" i="8"/>
  <c r="C56" i="8"/>
  <c r="B56" i="8"/>
  <c r="A56" i="8"/>
  <c r="F55" i="8"/>
  <c r="E55" i="8"/>
  <c r="D55" i="8"/>
  <c r="C55" i="8"/>
  <c r="B55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F66" i="6"/>
  <c r="E66" i="6"/>
  <c r="D66" i="6"/>
  <c r="C66" i="6"/>
  <c r="B66" i="6"/>
  <c r="B64" i="6"/>
  <c r="A66" i="6"/>
  <c r="F65" i="6"/>
  <c r="E65" i="6"/>
  <c r="D65" i="6"/>
  <c r="C65" i="6"/>
  <c r="B65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A64" i="6"/>
  <c r="F56" i="6"/>
  <c r="E56" i="6"/>
  <c r="D56" i="6"/>
  <c r="C56" i="6"/>
  <c r="B56" i="6"/>
  <c r="A56" i="6"/>
  <c r="F55" i="6"/>
  <c r="E55" i="6"/>
  <c r="D55" i="6"/>
  <c r="C55" i="6"/>
  <c r="B55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F66" i="4"/>
  <c r="E66" i="4"/>
  <c r="D66" i="4"/>
  <c r="C66" i="4"/>
  <c r="B66" i="4"/>
  <c r="A66" i="4"/>
  <c r="F65" i="4"/>
  <c r="E65" i="4"/>
  <c r="D65" i="4"/>
  <c r="C65" i="4"/>
  <c r="B65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C55" i="4"/>
  <c r="D55" i="4"/>
  <c r="E55" i="4"/>
  <c r="F55" i="4"/>
  <c r="B55" i="4"/>
  <c r="A56" i="4"/>
  <c r="A54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B54" i="4" s="1"/>
  <c r="C53" i="4"/>
  <c r="C54" i="4" s="1"/>
  <c r="D53" i="4"/>
  <c r="D54" i="4" s="1"/>
  <c r="E53" i="4"/>
  <c r="E54" i="4" s="1"/>
  <c r="F53" i="4"/>
  <c r="F54" i="4" s="1"/>
  <c r="G53" i="4"/>
  <c r="G54" i="4" s="1"/>
  <c r="H53" i="4"/>
  <c r="H54" i="4" s="1"/>
  <c r="I53" i="4"/>
  <c r="I54" i="4" s="1"/>
  <c r="J53" i="4"/>
  <c r="J54" i="4" s="1"/>
  <c r="K53" i="4"/>
  <c r="K54" i="4" s="1"/>
  <c r="L53" i="4"/>
  <c r="L54" i="4" s="1"/>
  <c r="M53" i="4"/>
  <c r="M54" i="4" s="1"/>
  <c r="N53" i="4"/>
  <c r="N54" i="4" s="1"/>
  <c r="O53" i="4"/>
  <c r="O54" i="4" s="1"/>
  <c r="P53" i="4"/>
  <c r="P54" i="4" s="1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<sst xmlns="http://schemas.openxmlformats.org/spreadsheetml/2006/main" count="745" uniqueCount="129">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</sst>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5"/>
      <name val="Aptos Narrow"/>
      <family val="2"/>
      <scheme val="minor"/>
    </font>
    <font>
      <sz val="12"/>
      <color rgb="FFC0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18" borderId="0" xfId="0" applyFont="1" applyFill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112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57"/>
  <sheetViews>
    <sheetView topLeftCell="A131" workbookViewId="0">
      <selection activeCell="A159" sqref="A15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81.52000000000001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4" activePane="bottomLeft" state="frozen"/>
      <selection pane="bottomLeft" activeCell="A80" sqref="A80:XFD8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38" workbookViewId="0">
      <selection activeCell="D68" sqref="D68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59" customFormat="1" x14ac:dyDescent="0.2">
      <c r="A54" s="59" t="str">
        <f>$A$152</f>
        <v>% Plan</v>
      </c>
      <c r="B54" s="59">
        <f>(B53/B52)*100</f>
        <v>93.75</v>
      </c>
      <c r="C54" s="59">
        <f t="shared" ref="C54:P54" si="0">(C53/C52)*100</f>
        <v>94.583333333333329</v>
      </c>
      <c r="D54" s="59">
        <f t="shared" si="0"/>
        <v>92.083333333333343</v>
      </c>
      <c r="E54" s="59">
        <f t="shared" si="0"/>
        <v>103.63636363636364</v>
      </c>
      <c r="F54" s="59">
        <f t="shared" si="0"/>
        <v>104.54545454545455</v>
      </c>
      <c r="G54" s="59">
        <f t="shared" si="0"/>
        <v>103.63636363636364</v>
      </c>
      <c r="H54" s="59">
        <f t="shared" si="0"/>
        <v>92.72727272727272</v>
      </c>
      <c r="I54" s="59">
        <f t="shared" si="0"/>
        <v>90.909090909090907</v>
      </c>
      <c r="J54" s="59">
        <f t="shared" si="0"/>
        <v>90.909090909090907</v>
      </c>
      <c r="K54" s="59">
        <f t="shared" si="0"/>
        <v>90</v>
      </c>
      <c r="L54" s="59">
        <f t="shared" si="0"/>
        <v>88.181818181818173</v>
      </c>
      <c r="M54" s="59">
        <f t="shared" si="0"/>
        <v>88.181818181818173</v>
      </c>
      <c r="N54" s="59">
        <f t="shared" si="0"/>
        <v>74.545454545454533</v>
      </c>
      <c r="O54" s="59">
        <f t="shared" si="0"/>
        <v>74.545454545454533</v>
      </c>
      <c r="P54" s="59">
        <f t="shared" si="0"/>
        <v>74.545454545454533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93.472222222222229</v>
      </c>
      <c r="C56" s="60">
        <f>(AVERAGE(E53:G53)/AVERAGE(E52:G52))*100</f>
        <v>103.93939393939394</v>
      </c>
      <c r="D56" s="60">
        <f>(AVERAGE(H53:J53)/AVERAGE(H52:J52))*100</f>
        <v>91.515151515151516</v>
      </c>
      <c r="E56" s="60">
        <f>(AVERAGE(K53:M53)/AVERAGE(K52:M52))*100</f>
        <v>88.787878787878796</v>
      </c>
      <c r="F56" s="60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9" customFormat="1" x14ac:dyDescent="0.2">
      <c r="A64" s="59" t="str">
        <f>$A$152</f>
        <v>% Plan</v>
      </c>
      <c r="B64" s="59">
        <f>(B63/B62)*100</f>
        <v>92</v>
      </c>
      <c r="C64" s="59">
        <f t="shared" ref="C64" si="2">(C63/C62)*100</f>
        <v>92</v>
      </c>
      <c r="D64" s="59">
        <f t="shared" ref="D64" si="3">(D63/D62)*100</f>
        <v>92</v>
      </c>
      <c r="E64" s="59">
        <f t="shared" ref="E64" si="4">(E63/E62)*100</f>
        <v>100</v>
      </c>
      <c r="F64" s="59">
        <f t="shared" ref="F64" si="5">(F63/F62)*100</f>
        <v>100</v>
      </c>
      <c r="G64" s="59">
        <f t="shared" ref="G64" si="6">(G63/G62)*100</f>
        <v>100</v>
      </c>
      <c r="H64" s="59">
        <f t="shared" ref="H64" si="7">(H63/H62)*100</f>
        <v>100</v>
      </c>
      <c r="I64" s="59">
        <f t="shared" ref="I64" si="8">(I63/I62)*100</f>
        <v>100</v>
      </c>
      <c r="J64" s="59">
        <f t="shared" ref="J64" si="9">(J63/J62)*100</f>
        <v>100</v>
      </c>
      <c r="K64" s="59">
        <f t="shared" ref="K64" si="10">(K63/K62)*100</f>
        <v>100</v>
      </c>
      <c r="L64" s="59">
        <f t="shared" ref="L64" si="11">(L63/L62)*100</f>
        <v>100</v>
      </c>
      <c r="M64" s="59">
        <f t="shared" ref="M64" si="12">(M63/M62)*100</f>
        <v>100</v>
      </c>
      <c r="N64" s="59">
        <f t="shared" ref="N64" si="13">(N63/N62)*100</f>
        <v>100</v>
      </c>
      <c r="O64" s="59">
        <f t="shared" ref="O64" si="14">(O63/O62)*100</f>
        <v>100</v>
      </c>
      <c r="P64" s="59">
        <f t="shared" ref="P64" si="15">(P63/P62)*100</f>
        <v>100</v>
      </c>
    </row>
    <row r="65" spans="1:6" s="60" customFormat="1" x14ac:dyDescent="0.2">
      <c r="B65" s="60" t="str">
        <f>B$155</f>
        <v>Q1</v>
      </c>
      <c r="C65" s="60" t="str">
        <f t="shared" ref="C65:F65" si="16">C$155</f>
        <v>Q2</v>
      </c>
      <c r="D65" s="60" t="str">
        <f t="shared" si="16"/>
        <v>Q3</v>
      </c>
      <c r="E65" s="60" t="str">
        <f t="shared" si="16"/>
        <v>Q4</v>
      </c>
      <c r="F65" s="60" t="str">
        <f t="shared" si="16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92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89.41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3" workbookViewId="0">
      <selection activeCell="I147" sqref="I14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A51" sqref="A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59" customFormat="1" x14ac:dyDescent="0.2">
      <c r="A64" s="59" t="str">
        <f>$A$152</f>
        <v>% Plan</v>
      </c>
      <c r="B64" s="59">
        <f>(B63/B62)*100</f>
        <v>88.205128205128204</v>
      </c>
      <c r="C64" s="59">
        <f t="shared" ref="C64:P64" si="2">(C63/C62)*100</f>
        <v>93.230769230769226</v>
      </c>
      <c r="D64" s="59">
        <f t="shared" si="2"/>
        <v>98.641025641025635</v>
      </c>
      <c r="E64" s="59">
        <f t="shared" si="2"/>
        <v>93.731707317073159</v>
      </c>
      <c r="F64" s="59">
        <f t="shared" si="2"/>
        <v>97.024390243902431</v>
      </c>
      <c r="G64" s="59">
        <f t="shared" si="2"/>
        <v>90.024390243902431</v>
      </c>
      <c r="H64" s="59">
        <f t="shared" si="2"/>
        <v>92.951219512195109</v>
      </c>
      <c r="I64" s="59">
        <f t="shared" si="2"/>
        <v>91.609756097560975</v>
      </c>
      <c r="J64" s="59">
        <f t="shared" si="2"/>
        <v>92.829268292682926</v>
      </c>
      <c r="K64" s="59">
        <f t="shared" si="2"/>
        <v>84.609756097560975</v>
      </c>
      <c r="L64" s="59">
        <f t="shared" si="2"/>
        <v>82.926829268292678</v>
      </c>
      <c r="M64" s="59">
        <f t="shared" si="2"/>
        <v>82.926829268292678</v>
      </c>
      <c r="N64" s="59">
        <f t="shared" si="2"/>
        <v>60.121951219512191</v>
      </c>
      <c r="O64" s="59">
        <f t="shared" si="2"/>
        <v>60.121951219512191</v>
      </c>
      <c r="P64" s="59">
        <f t="shared" si="2"/>
        <v>60.121951219512191</v>
      </c>
    </row>
    <row r="65" spans="1: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93.358974358974351</v>
      </c>
      <c r="C66" s="60">
        <f>(AVERAGE(E63:G63)/AVERAGE(E62:G62))*100</f>
        <v>93.593495934959364</v>
      </c>
      <c r="D66" s="60">
        <f>(AVERAGE(H63:J63)/AVERAGE(H62:J62))*100</f>
        <v>92.463414634146346</v>
      </c>
      <c r="E66" s="60">
        <f>(AVERAGE(K63:M63)/AVERAGE(K62:M62))*100</f>
        <v>83.487804878048777</v>
      </c>
      <c r="F66" s="60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78.92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27" activePane="bottomLeft" state="frozen"/>
      <selection pane="bottomLeft" activeCell="A51" sqref="A51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59" customFormat="1" x14ac:dyDescent="0.2">
      <c r="A54" s="59" t="str">
        <f>$A$152</f>
        <v>% Plan</v>
      </c>
      <c r="B54" s="59">
        <f>(B53/B52)*100</f>
        <v>76.5625</v>
      </c>
      <c r="C54" s="59">
        <f t="shared" ref="C54:P54" si="0">(C53/C52)*100</f>
        <v>96.25</v>
      </c>
      <c r="D54" s="59">
        <f t="shared" si="0"/>
        <v>91.25</v>
      </c>
      <c r="E54" s="59">
        <f t="shared" si="0"/>
        <v>82.5</v>
      </c>
      <c r="F54" s="59">
        <f t="shared" si="0"/>
        <v>100.62500000000001</v>
      </c>
      <c r="G54" s="59">
        <f t="shared" si="0"/>
        <v>100.62500000000001</v>
      </c>
      <c r="H54" s="59">
        <f t="shared" si="0"/>
        <v>99.53125</v>
      </c>
      <c r="I54" s="59">
        <f t="shared" si="0"/>
        <v>82.34375</v>
      </c>
      <c r="J54" s="59">
        <f t="shared" si="0"/>
        <v>73.28125</v>
      </c>
      <c r="K54" s="59">
        <f t="shared" si="0"/>
        <v>67.8125</v>
      </c>
      <c r="L54" s="59">
        <f t="shared" si="0"/>
        <v>64.6875</v>
      </c>
      <c r="M54" s="59">
        <f t="shared" si="0"/>
        <v>59.687500000000007</v>
      </c>
      <c r="N54" s="59">
        <f t="shared" si="0"/>
        <v>32.03125</v>
      </c>
      <c r="O54" s="59">
        <f t="shared" si="0"/>
        <v>25.78125</v>
      </c>
      <c r="P54" s="59">
        <f t="shared" si="0"/>
        <v>25.78125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88.020833333333343</v>
      </c>
      <c r="C56" s="60">
        <f>(AVERAGE(E53:G53)/AVERAGE(E52:G52))*100</f>
        <v>94.583333333333343</v>
      </c>
      <c r="D56" s="60">
        <f>(AVERAGE(H53:J53)/AVERAGE(H52:J52))*100</f>
        <v>85.052083333333343</v>
      </c>
      <c r="E56" s="60">
        <f>(AVERAGE(K53:M53)/AVERAGE(K52:M52))*100</f>
        <v>64.0625</v>
      </c>
      <c r="F56" s="60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59" customFormat="1" x14ac:dyDescent="0.2">
      <c r="A64" s="59" t="str">
        <f>$A$152</f>
        <v>% Plan</v>
      </c>
      <c r="B64" s="59">
        <f>(B63/B62)*100</f>
        <v>101.07142857142857</v>
      </c>
      <c r="C64" s="59">
        <f t="shared" ref="C64:P64" si="2">(C63/C62)*100</f>
        <v>103.21428571428571</v>
      </c>
      <c r="D64" s="59">
        <f t="shared" si="2"/>
        <v>98.071428571428569</v>
      </c>
      <c r="E64" s="59">
        <f t="shared" si="2"/>
        <v>87.428571428571431</v>
      </c>
      <c r="F64" s="59">
        <f t="shared" si="2"/>
        <v>81.535714285714278</v>
      </c>
      <c r="G64" s="59">
        <f t="shared" si="2"/>
        <v>91.607142857142847</v>
      </c>
      <c r="H64" s="59">
        <f t="shared" si="2"/>
        <v>83.75</v>
      </c>
      <c r="I64" s="59">
        <f t="shared" si="2"/>
        <v>80.464285714285722</v>
      </c>
      <c r="J64" s="59">
        <f t="shared" si="2"/>
        <v>80.464285714285722</v>
      </c>
      <c r="K64" s="59">
        <f t="shared" si="2"/>
        <v>75.642857142857139</v>
      </c>
      <c r="L64" s="59">
        <f t="shared" si="2"/>
        <v>73.5</v>
      </c>
      <c r="M64" s="59">
        <f t="shared" si="2"/>
        <v>73.5</v>
      </c>
      <c r="N64" s="59">
        <f t="shared" si="2"/>
        <v>61.642857142857146</v>
      </c>
      <c r="O64" s="59">
        <f t="shared" si="2"/>
        <v>61.642857142857146</v>
      </c>
      <c r="P64" s="59">
        <f t="shared" si="2"/>
        <v>61.642857142857146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100.78571428571428</v>
      </c>
      <c r="C66" s="60">
        <f>(AVERAGE(E63:G63)/AVERAGE(E62:G62))*100</f>
        <v>86.857142857142861</v>
      </c>
      <c r="D66" s="60">
        <f>(AVERAGE(H63:J63)/AVERAGE(H62:J62))*100</f>
        <v>81.55952380952381</v>
      </c>
      <c r="E66" s="60">
        <f>(AVERAGE(K63:M63)/AVERAGE(K62:M62))*100</f>
        <v>74.214285714285708</v>
      </c>
      <c r="F66" s="60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59" customFormat="1" x14ac:dyDescent="0.2">
      <c r="A74" s="59" t="str">
        <f>$A$152</f>
        <v>% Plan</v>
      </c>
      <c r="B74" s="59">
        <f>(B73/B72)*100</f>
        <v>82.5</v>
      </c>
      <c r="C74" s="59">
        <f t="shared" ref="C74:P74" si="4">(C73/C72)*100</f>
        <v>109.375</v>
      </c>
      <c r="D74" s="59">
        <f t="shared" si="4"/>
        <v>108.125</v>
      </c>
      <c r="E74" s="59">
        <f t="shared" si="4"/>
        <v>97.5</v>
      </c>
      <c r="F74" s="59">
        <f t="shared" si="4"/>
        <v>87.875</v>
      </c>
      <c r="G74" s="59">
        <f t="shared" si="4"/>
        <v>86.625</v>
      </c>
      <c r="H74" s="59">
        <f t="shared" si="4"/>
        <v>84.125</v>
      </c>
      <c r="I74" s="59">
        <f t="shared" si="4"/>
        <v>86</v>
      </c>
      <c r="J74" s="59">
        <f t="shared" si="4"/>
        <v>78</v>
      </c>
      <c r="K74" s="59">
        <f t="shared" si="4"/>
        <v>78</v>
      </c>
      <c r="L74" s="59">
        <f t="shared" si="4"/>
        <v>78</v>
      </c>
      <c r="M74" s="59">
        <f t="shared" si="4"/>
        <v>76.125</v>
      </c>
      <c r="N74" s="59">
        <f t="shared" si="4"/>
        <v>69.5</v>
      </c>
      <c r="O74" s="59">
        <f t="shared" si="4"/>
        <v>69.5</v>
      </c>
      <c r="P74" s="59">
        <f t="shared" si="4"/>
        <v>69.5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90.666666666666657</v>
      </c>
      <c r="D76" s="60">
        <f>(AVERAGE(H73:J73)/AVERAGE(H72:J72))*100</f>
        <v>82.708333333333343</v>
      </c>
      <c r="E76" s="60">
        <f>(AVERAGE(K73:M73)/AVERAGE(K72:M72))*100</f>
        <v>77.375</v>
      </c>
      <c r="F76" s="60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59" customFormat="1" x14ac:dyDescent="0.2">
      <c r="A84" s="59" t="str">
        <f>$A$152</f>
        <v>% Plan</v>
      </c>
      <c r="B84" s="59">
        <f>(B83/B82)*100</f>
        <v>169.25</v>
      </c>
      <c r="C84" s="59">
        <f t="shared" ref="C84:P84" si="6">(C83/C82)*100</f>
        <v>153.75</v>
      </c>
      <c r="D84" s="59">
        <f t="shared" si="6"/>
        <v>211</v>
      </c>
      <c r="E84" s="59">
        <f t="shared" si="6"/>
        <v>132.75</v>
      </c>
      <c r="F84" s="59">
        <f t="shared" si="6"/>
        <v>134.25</v>
      </c>
      <c r="G84" s="59">
        <f t="shared" si="6"/>
        <v>123.25</v>
      </c>
      <c r="H84" s="59">
        <f t="shared" si="6"/>
        <v>115.75</v>
      </c>
      <c r="I84" s="59">
        <f t="shared" si="6"/>
        <v>113.25</v>
      </c>
      <c r="J84" s="59">
        <f t="shared" si="6"/>
        <v>105.75000000000001</v>
      </c>
      <c r="K84" s="59">
        <f t="shared" si="6"/>
        <v>113.25</v>
      </c>
      <c r="L84" s="59">
        <f t="shared" si="6"/>
        <v>103.25</v>
      </c>
      <c r="M84" s="59">
        <f t="shared" si="6"/>
        <v>103.25</v>
      </c>
      <c r="N84" s="59">
        <f t="shared" si="6"/>
        <v>75.25</v>
      </c>
      <c r="O84" s="59">
        <f t="shared" si="6"/>
        <v>72.75</v>
      </c>
      <c r="P84" s="59">
        <f t="shared" si="6"/>
        <v>72.75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178</v>
      </c>
      <c r="C86" s="60">
        <f>(AVERAGE(E83:G83)/AVERAGE(E82:G82))*100</f>
        <v>130.08333333333331</v>
      </c>
      <c r="D86" s="60">
        <f>(AVERAGE(H83:J83)/AVERAGE(H82:J82))*100</f>
        <v>111.58333333333334</v>
      </c>
      <c r="E86" s="60">
        <f>(AVERAGE(K83:M83)/AVERAGE(K82:M82))*100</f>
        <v>106.58333333333331</v>
      </c>
      <c r="F86" s="60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59" customFormat="1" x14ac:dyDescent="0.2">
      <c r="A94" s="59" t="str">
        <f>$A$152</f>
        <v>% Plan</v>
      </c>
      <c r="B94" s="59">
        <f>(B93/B92)*100</f>
        <v>109.16666666666666</v>
      </c>
      <c r="C94" s="59">
        <f t="shared" ref="C94:P94" si="8">(C93/C92)*100</f>
        <v>109.16666666666666</v>
      </c>
      <c r="D94" s="59">
        <f t="shared" si="8"/>
        <v>107.5</v>
      </c>
      <c r="E94" s="59">
        <f t="shared" si="8"/>
        <v>95.833333333333343</v>
      </c>
      <c r="F94" s="59">
        <f t="shared" si="8"/>
        <v>103.74999999999999</v>
      </c>
      <c r="G94" s="59">
        <f t="shared" si="8"/>
        <v>95.416666666666657</v>
      </c>
      <c r="H94" s="59">
        <f t="shared" si="8"/>
        <v>86.666666666666671</v>
      </c>
      <c r="I94" s="59">
        <f t="shared" si="8"/>
        <v>86.666666666666671</v>
      </c>
      <c r="J94" s="59">
        <f t="shared" si="8"/>
        <v>86.666666666666671</v>
      </c>
      <c r="K94" s="59">
        <f t="shared" si="8"/>
        <v>86.666666666666671</v>
      </c>
      <c r="L94" s="59">
        <f t="shared" si="8"/>
        <v>86.666666666666671</v>
      </c>
      <c r="M94" s="59">
        <f t="shared" si="8"/>
        <v>86.666666666666671</v>
      </c>
      <c r="N94" s="59">
        <f t="shared" si="8"/>
        <v>83.333333333333343</v>
      </c>
      <c r="O94" s="59">
        <f t="shared" si="8"/>
        <v>83.333333333333343</v>
      </c>
      <c r="P94" s="59">
        <f t="shared" si="8"/>
        <v>83.333333333333343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108.6111111111111</v>
      </c>
      <c r="C96" s="60">
        <f>(AVERAGE(E93:G93)/AVERAGE(E92:G92))*100</f>
        <v>98.333333333333329</v>
      </c>
      <c r="D96" s="60">
        <f>(AVERAGE(H93:J93)/AVERAGE(H92:J92))*100</f>
        <v>86.666666666666671</v>
      </c>
      <c r="E96" s="60">
        <f>(AVERAGE(K93:M93)/AVERAGE(K92:M92))*100</f>
        <v>86.666666666666671</v>
      </c>
      <c r="F96" s="60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59" customFormat="1" x14ac:dyDescent="0.2">
      <c r="A104" s="59" t="str">
        <f>$A$152</f>
        <v>% Plan</v>
      </c>
      <c r="B104" s="59">
        <f>(B103/B102)*100</f>
        <v>91.25</v>
      </c>
      <c r="C104" s="59">
        <f t="shared" ref="C104:P104" si="10">(C103/C102)*100</f>
        <v>93.75</v>
      </c>
      <c r="D104" s="59">
        <f t="shared" si="10"/>
        <v>100</v>
      </c>
      <c r="E104" s="59">
        <f t="shared" si="10"/>
        <v>96.25</v>
      </c>
      <c r="F104" s="59">
        <f t="shared" si="10"/>
        <v>104</v>
      </c>
      <c r="G104" s="59">
        <f t="shared" si="10"/>
        <v>101.49999999999999</v>
      </c>
      <c r="H104" s="59">
        <f t="shared" si="10"/>
        <v>106.87500000000001</v>
      </c>
      <c r="I104" s="59">
        <f t="shared" si="10"/>
        <v>103.8</v>
      </c>
      <c r="J104" s="59">
        <f t="shared" si="10"/>
        <v>98.174999999999997</v>
      </c>
      <c r="K104" s="59">
        <f t="shared" si="10"/>
        <v>93.174999999999997</v>
      </c>
      <c r="L104" s="59">
        <f t="shared" si="10"/>
        <v>87.125</v>
      </c>
      <c r="M104" s="59">
        <f t="shared" si="10"/>
        <v>67.75</v>
      </c>
      <c r="N104" s="59">
        <f t="shared" si="10"/>
        <v>25</v>
      </c>
      <c r="O104" s="59">
        <f t="shared" si="10"/>
        <v>25</v>
      </c>
      <c r="P104" s="59">
        <f t="shared" si="10"/>
        <v>25</v>
      </c>
    </row>
    <row r="105" spans="1:16" s="60" customFormat="1" x14ac:dyDescent="0.2">
      <c r="B105" s="60" t="str">
        <f>B$155</f>
        <v>Q1</v>
      </c>
      <c r="C105" s="60" t="str">
        <f t="shared" ref="C105:F105" si="11">C$155</f>
        <v>Q2</v>
      </c>
      <c r="D105" s="60" t="str">
        <f t="shared" si="11"/>
        <v>Q3</v>
      </c>
      <c r="E105" s="60" t="str">
        <f t="shared" si="11"/>
        <v>Q4</v>
      </c>
      <c r="F105" s="60" t="str">
        <f t="shared" si="11"/>
        <v>Q1'27</v>
      </c>
    </row>
    <row r="106" spans="1:16" s="60" customFormat="1" x14ac:dyDescent="0.2">
      <c r="A106" s="60" t="str">
        <f>$A$156</f>
        <v>% Plan</v>
      </c>
      <c r="B106" s="60">
        <f>(AVERAGE(B103:D103)/AVERAGE(B102:D102))*100</f>
        <v>95</v>
      </c>
      <c r="C106" s="60">
        <f>(AVERAGE(E103:G103)/AVERAGE(E102:G102))*100</f>
        <v>100.58333333333334</v>
      </c>
      <c r="D106" s="60">
        <f>(AVERAGE(H103:J103)/AVERAGE(H102:J102))*100</f>
        <v>102.94999999999999</v>
      </c>
      <c r="E106" s="60">
        <f>(AVERAGE(K103:M103)/AVERAGE(K102:M102))*100</f>
        <v>82.683333333333337</v>
      </c>
      <c r="F106" s="60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59" customFormat="1" x14ac:dyDescent="0.2">
      <c r="A114" s="59" t="str">
        <f>$A$152</f>
        <v>% Plan</v>
      </c>
      <c r="B114" s="59">
        <f>(B113/B112)*100</f>
        <v>94</v>
      </c>
      <c r="C114" s="59">
        <f t="shared" ref="C114:P114" si="12">(C113/C112)*100</f>
        <v>101</v>
      </c>
      <c r="D114" s="59">
        <f t="shared" si="12"/>
        <v>101</v>
      </c>
      <c r="E114" s="59">
        <f t="shared" si="12"/>
        <v>105.60000000000001</v>
      </c>
      <c r="F114" s="59">
        <f t="shared" si="12"/>
        <v>119.8</v>
      </c>
      <c r="G114" s="59">
        <f t="shared" si="12"/>
        <v>109.80000000000001</v>
      </c>
      <c r="H114" s="59">
        <f t="shared" si="12"/>
        <v>103</v>
      </c>
      <c r="I114" s="59">
        <f t="shared" si="12"/>
        <v>94</v>
      </c>
      <c r="J114" s="59">
        <f t="shared" si="12"/>
        <v>90</v>
      </c>
      <c r="K114" s="59">
        <f t="shared" si="12"/>
        <v>90</v>
      </c>
      <c r="L114" s="59">
        <f t="shared" si="12"/>
        <v>90</v>
      </c>
      <c r="M114" s="59">
        <f t="shared" si="12"/>
        <v>90</v>
      </c>
      <c r="N114" s="59">
        <f t="shared" si="12"/>
        <v>64.400000000000006</v>
      </c>
      <c r="O114" s="59">
        <f t="shared" si="12"/>
        <v>64.400000000000006</v>
      </c>
      <c r="P114" s="59">
        <f t="shared" si="12"/>
        <v>64.400000000000006</v>
      </c>
    </row>
    <row r="115" spans="1:16" s="60" customFormat="1" x14ac:dyDescent="0.2">
      <c r="B115" s="60" t="str">
        <f>B$155</f>
        <v>Q1</v>
      </c>
      <c r="C115" s="60" t="str">
        <f t="shared" ref="C115:F115" si="13">C$155</f>
        <v>Q2</v>
      </c>
      <c r="D115" s="60" t="str">
        <f t="shared" si="13"/>
        <v>Q3</v>
      </c>
      <c r="E115" s="60" t="str">
        <f t="shared" si="13"/>
        <v>Q4</v>
      </c>
      <c r="F115" s="60" t="str">
        <f t="shared" si="13"/>
        <v>Q1'27</v>
      </c>
    </row>
    <row r="116" spans="1:16" s="60" customFormat="1" x14ac:dyDescent="0.2">
      <c r="A116" s="60" t="str">
        <f>$A$156</f>
        <v>% Plan</v>
      </c>
      <c r="B116" s="60">
        <f>(AVERAGE(B113:D113)/AVERAGE(B112:D112))*100</f>
        <v>98.666666666666671</v>
      </c>
      <c r="C116" s="60">
        <f>(AVERAGE(E113:G113)/AVERAGE(E112:G112))*100</f>
        <v>111.73333333333333</v>
      </c>
      <c r="D116" s="60">
        <f>(AVERAGE(H113:J113)/AVERAGE(H112:J112))*100</f>
        <v>95.666666666666671</v>
      </c>
      <c r="E116" s="60">
        <f>(AVERAGE(K113:M113)/AVERAGE(K112:M112))*100</f>
        <v>90</v>
      </c>
      <c r="F116" s="60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59" customFormat="1" x14ac:dyDescent="0.2">
      <c r="A124" s="59" t="str">
        <f>$A$152</f>
        <v>% Plan</v>
      </c>
      <c r="B124" s="59">
        <f>(B123/B122)*100</f>
        <v>88.1111111111111</v>
      </c>
      <c r="C124" s="59">
        <f t="shared" ref="C124:P124" si="14">(C123/C122)*100</f>
        <v>102.72727272727273</v>
      </c>
      <c r="D124" s="59">
        <f t="shared" si="14"/>
        <v>104.25</v>
      </c>
      <c r="E124" s="59">
        <f t="shared" si="14"/>
        <v>97.375</v>
      </c>
      <c r="F124" s="59">
        <f t="shared" si="14"/>
        <v>107.83333333333334</v>
      </c>
      <c r="G124" s="59">
        <f t="shared" si="14"/>
        <v>112.16666666666669</v>
      </c>
      <c r="H124" s="59">
        <f t="shared" si="14"/>
        <v>128.33333333333334</v>
      </c>
      <c r="I124" s="59">
        <f t="shared" si="14"/>
        <v>127.08333333333333</v>
      </c>
      <c r="J124" s="59">
        <f t="shared" si="14"/>
        <v>131.25</v>
      </c>
      <c r="K124" s="59">
        <f t="shared" si="14"/>
        <v>112.08333333333333</v>
      </c>
      <c r="L124" s="59">
        <f t="shared" si="14"/>
        <v>109.99999999999999</v>
      </c>
      <c r="M124" s="59">
        <f t="shared" si="14"/>
        <v>107.08333333333333</v>
      </c>
      <c r="N124" s="59">
        <f t="shared" si="14"/>
        <v>80</v>
      </c>
      <c r="O124" s="59">
        <f t="shared" si="14"/>
        <v>80</v>
      </c>
      <c r="P124" s="59">
        <f t="shared" si="14"/>
        <v>80</v>
      </c>
    </row>
    <row r="125" spans="1:16" s="60" customFormat="1" x14ac:dyDescent="0.2">
      <c r="B125" s="60" t="str">
        <f>B$155</f>
        <v>Q1</v>
      </c>
      <c r="C125" s="60" t="str">
        <f t="shared" ref="C125:F125" si="15">C$155</f>
        <v>Q2</v>
      </c>
      <c r="D125" s="60" t="str">
        <f t="shared" si="15"/>
        <v>Q3</v>
      </c>
      <c r="E125" s="60" t="str">
        <f t="shared" si="15"/>
        <v>Q4</v>
      </c>
      <c r="F125" s="60" t="str">
        <f t="shared" si="15"/>
        <v>Q1'27</v>
      </c>
    </row>
    <row r="126" spans="1:16" s="60" customFormat="1" x14ac:dyDescent="0.2">
      <c r="A126" s="60" t="str">
        <f>$A$156</f>
        <v>% Plan</v>
      </c>
      <c r="B126" s="60">
        <f>(AVERAGE(B123:D123)/AVERAGE(B122:D122))*100</f>
        <v>99.1875</v>
      </c>
      <c r="C126" s="60">
        <f>(AVERAGE(E123:G123)/AVERAGE(E122:G122))*100</f>
        <v>105.79166666666666</v>
      </c>
      <c r="D126" s="60">
        <f>(AVERAGE(H123:J123)/AVERAGE(H122:J122))*100</f>
        <v>128.88888888888889</v>
      </c>
      <c r="E126" s="60">
        <f>(AVERAGE(K123:M123)/AVERAGE(K122:M122))*100</f>
        <v>109.72222222222221</v>
      </c>
      <c r="F126" s="60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59" customFormat="1" x14ac:dyDescent="0.2">
      <c r="A134" s="59" t="str">
        <f>$A$152</f>
        <v>% Plan</v>
      </c>
      <c r="B134" s="59">
        <f>(B133/B132)*100</f>
        <v>77</v>
      </c>
      <c r="C134" s="59">
        <f t="shared" ref="C134:P134" si="16">(C133/C132)*100</f>
        <v>73.5</v>
      </c>
      <c r="D134" s="59">
        <f t="shared" si="16"/>
        <v>74.75</v>
      </c>
      <c r="E134" s="59">
        <f t="shared" si="16"/>
        <v>76.75</v>
      </c>
      <c r="F134" s="59">
        <f t="shared" si="16"/>
        <v>76.75</v>
      </c>
      <c r="G134" s="59">
        <f t="shared" si="16"/>
        <v>80.75</v>
      </c>
      <c r="H134" s="59">
        <f t="shared" si="16"/>
        <v>95.75</v>
      </c>
      <c r="I134" s="59">
        <f t="shared" si="16"/>
        <v>95.75</v>
      </c>
      <c r="J134" s="59">
        <f t="shared" si="16"/>
        <v>95.75</v>
      </c>
      <c r="K134" s="59">
        <f t="shared" si="16"/>
        <v>95.75</v>
      </c>
      <c r="L134" s="59">
        <f t="shared" si="16"/>
        <v>105</v>
      </c>
      <c r="M134" s="59">
        <f t="shared" si="16"/>
        <v>130</v>
      </c>
      <c r="N134" s="59">
        <f t="shared" si="16"/>
        <v>130</v>
      </c>
      <c r="O134" s="59">
        <f t="shared" si="16"/>
        <v>130</v>
      </c>
      <c r="P134" s="59">
        <f t="shared" si="16"/>
        <v>130</v>
      </c>
    </row>
    <row r="135" spans="1:16" s="60" customFormat="1" x14ac:dyDescent="0.2">
      <c r="B135" s="60" t="str">
        <f>B$155</f>
        <v>Q1</v>
      </c>
      <c r="C135" s="60" t="str">
        <f t="shared" ref="C135:F135" si="17">C$155</f>
        <v>Q2</v>
      </c>
      <c r="D135" s="60" t="str">
        <f t="shared" si="17"/>
        <v>Q3</v>
      </c>
      <c r="E135" s="60" t="str">
        <f t="shared" si="17"/>
        <v>Q4</v>
      </c>
      <c r="F135" s="60" t="str">
        <f t="shared" si="17"/>
        <v>Q1'27</v>
      </c>
    </row>
    <row r="136" spans="1:16" s="60" customFormat="1" x14ac:dyDescent="0.2">
      <c r="A136" s="60" t="str">
        <f>$A$156</f>
        <v>% Plan</v>
      </c>
      <c r="B136" s="60">
        <f>(AVERAGE(B133:D133)/AVERAGE(B132:D132))*100</f>
        <v>75.083333333333329</v>
      </c>
      <c r="C136" s="60">
        <f>(AVERAGE(E133:G133)/AVERAGE(E132:G132))*100</f>
        <v>78.083333333333329</v>
      </c>
      <c r="D136" s="60">
        <f>(AVERAGE(H133:J133)/AVERAGE(H132:J132))*100</f>
        <v>95.75</v>
      </c>
      <c r="E136" s="60">
        <f>(AVERAGE(K133:M133)/AVERAGE(K132:M132))*100</f>
        <v>110.25</v>
      </c>
      <c r="F136" s="60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83.919999999999987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workbookViewId="0">
      <selection activeCell="A91" sqref="A9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9" customFormat="1" x14ac:dyDescent="0.2">
      <c r="A54" s="59" t="str">
        <f>$A$152</f>
        <v>% Plan</v>
      </c>
      <c r="B54" s="59">
        <f>(B53/B52)*100</f>
        <v>70</v>
      </c>
      <c r="C54" s="59">
        <f t="shared" ref="C54:P54" si="0">(C53/C52)*100</f>
        <v>70</v>
      </c>
      <c r="D54" s="59">
        <f t="shared" si="0"/>
        <v>93.333333333333329</v>
      </c>
      <c r="E54" s="59">
        <f t="shared" si="0"/>
        <v>96.666666666666671</v>
      </c>
      <c r="F54" s="59">
        <f t="shared" si="0"/>
        <v>96.666666666666671</v>
      </c>
      <c r="G54" s="59">
        <f t="shared" si="0"/>
        <v>96.666666666666671</v>
      </c>
      <c r="H54" s="59">
        <f t="shared" si="0"/>
        <v>96.666666666666671</v>
      </c>
      <c r="I54" s="59">
        <f t="shared" si="0"/>
        <v>96.666666666666671</v>
      </c>
      <c r="J54" s="59">
        <f t="shared" si="0"/>
        <v>96.666666666666671</v>
      </c>
      <c r="K54" s="59">
        <f t="shared" si="0"/>
        <v>96.666666666666671</v>
      </c>
      <c r="L54" s="59">
        <f t="shared" si="0"/>
        <v>96.666666666666671</v>
      </c>
      <c r="M54" s="59">
        <f t="shared" si="0"/>
        <v>96.666666666666671</v>
      </c>
      <c r="N54" s="59">
        <f t="shared" si="0"/>
        <v>96.666666666666671</v>
      </c>
      <c r="O54" s="59">
        <f t="shared" si="0"/>
        <v>96.666666666666671</v>
      </c>
      <c r="P54" s="59">
        <f t="shared" si="0"/>
        <v>96.666666666666671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76.363636363636346</v>
      </c>
      <c r="C56" s="60">
        <f>(AVERAGE(E53:G53)/AVERAGE(E52:G52))*100</f>
        <v>96.666666666666671</v>
      </c>
      <c r="D56" s="60">
        <f>(AVERAGE(H53:J53)/AVERAGE(H52:J52))*100</f>
        <v>96.666666666666671</v>
      </c>
      <c r="E56" s="60">
        <f>(AVERAGE(K53:M53)/AVERAGE(K52:M52))*100</f>
        <v>96.666666666666671</v>
      </c>
      <c r="F56" s="60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59" customFormat="1" x14ac:dyDescent="0.2">
      <c r="A64" s="59" t="str">
        <f>$A$152</f>
        <v>% Plan</v>
      </c>
      <c r="B64" s="59">
        <f>(B63/B62)*100</f>
        <v>65.15625</v>
      </c>
      <c r="C64" s="59">
        <f t="shared" ref="C64:P64" si="2">(C63/C62)*100</f>
        <v>78.0078125</v>
      </c>
      <c r="D64" s="59">
        <f t="shared" si="2"/>
        <v>76.7578125</v>
      </c>
      <c r="E64" s="59">
        <f t="shared" si="2"/>
        <v>87.6640625</v>
      </c>
      <c r="F64" s="59">
        <f t="shared" si="2"/>
        <v>88.6015625</v>
      </c>
      <c r="G64" s="59">
        <f t="shared" si="2"/>
        <v>87.3515625</v>
      </c>
      <c r="H64" s="59">
        <f t="shared" si="2"/>
        <v>66.84375</v>
      </c>
      <c r="I64" s="59">
        <f t="shared" si="2"/>
        <v>64.34375</v>
      </c>
      <c r="J64" s="59">
        <f t="shared" si="2"/>
        <v>64.34375</v>
      </c>
      <c r="K64" s="59">
        <f t="shared" si="2"/>
        <v>51.375000000000007</v>
      </c>
      <c r="L64" s="59">
        <f t="shared" si="2"/>
        <v>51.375000000000007</v>
      </c>
      <c r="M64" s="59">
        <f t="shared" si="2"/>
        <v>51.375000000000007</v>
      </c>
      <c r="N64" s="59">
        <f t="shared" si="2"/>
        <v>46.0625</v>
      </c>
      <c r="O64" s="59">
        <f t="shared" si="2"/>
        <v>46.0625</v>
      </c>
      <c r="P64" s="59">
        <f t="shared" si="2"/>
        <v>46.0625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73.307291666666657</v>
      </c>
      <c r="C66" s="60">
        <f>(AVERAGE(E63:G63)/AVERAGE(E62:G62))*100</f>
        <v>87.872395833333343</v>
      </c>
      <c r="D66" s="60">
        <f>(AVERAGE(H63:J63)/AVERAGE(H62:J62))*100</f>
        <v>65.177083333333343</v>
      </c>
      <c r="E66" s="60">
        <f>(AVERAGE(K63:M63)/AVERAGE(K62:M62))*100</f>
        <v>51.375000000000007</v>
      </c>
      <c r="F66" s="60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59" customFormat="1" x14ac:dyDescent="0.2">
      <c r="A74" s="59" t="str">
        <f>$A$152</f>
        <v>% Plan</v>
      </c>
      <c r="B74" s="59">
        <f>(B73/B72)*100</f>
        <v>60</v>
      </c>
      <c r="C74" s="59">
        <f t="shared" ref="C74:P74" si="4">(C73/C72)*100</f>
        <v>75</v>
      </c>
      <c r="D74" s="59">
        <f t="shared" si="4"/>
        <v>69.166666666666671</v>
      </c>
      <c r="E74" s="59">
        <f t="shared" si="4"/>
        <v>84.166666666666671</v>
      </c>
      <c r="F74" s="59">
        <f t="shared" si="4"/>
        <v>88.333333333333329</v>
      </c>
      <c r="G74" s="59">
        <f t="shared" si="4"/>
        <v>82.5</v>
      </c>
      <c r="H74" s="59">
        <f t="shared" si="4"/>
        <v>89</v>
      </c>
      <c r="I74" s="59">
        <f t="shared" si="4"/>
        <v>76</v>
      </c>
      <c r="J74" s="59">
        <f t="shared" si="4"/>
        <v>75</v>
      </c>
      <c r="K74" s="59">
        <f t="shared" si="4"/>
        <v>74</v>
      </c>
      <c r="L74" s="59">
        <f t="shared" si="4"/>
        <v>74</v>
      </c>
      <c r="M74" s="59">
        <f t="shared" si="4"/>
        <v>74</v>
      </c>
      <c r="N74" s="59">
        <f t="shared" si="4"/>
        <v>27.999999999999996</v>
      </c>
      <c r="O74" s="59">
        <f t="shared" si="4"/>
        <v>27.999999999999996</v>
      </c>
      <c r="P74" s="59">
        <f t="shared" si="4"/>
        <v>27.999999999999996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67.631578947368425</v>
      </c>
      <c r="C76" s="60">
        <f>(AVERAGE(E73:G73)/AVERAGE(E72:G72))*100</f>
        <v>85.000000000000014</v>
      </c>
      <c r="D76" s="60">
        <f>(AVERAGE(H73:J73)/AVERAGE(H72:J72))*100</f>
        <v>80</v>
      </c>
      <c r="E76" s="60">
        <f>(AVERAGE(K73:M73)/AVERAGE(K72:M72))*100</f>
        <v>74.000000000000014</v>
      </c>
      <c r="F76" s="60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59" customFormat="1" x14ac:dyDescent="0.2">
      <c r="A84" s="59" t="str">
        <f>$A$152</f>
        <v>% Plan</v>
      </c>
      <c r="B84" s="59">
        <f>(B83/B82)*100</f>
        <v>77.5</v>
      </c>
      <c r="C84" s="59">
        <f t="shared" ref="C84:P84" si="6">(C83/C82)*100</f>
        <v>80</v>
      </c>
      <c r="D84" s="59">
        <f t="shared" si="6"/>
        <v>74.6875</v>
      </c>
      <c r="E84" s="59">
        <f t="shared" si="6"/>
        <v>90</v>
      </c>
      <c r="F84" s="59">
        <f t="shared" si="6"/>
        <v>103.49999999999999</v>
      </c>
      <c r="G84" s="59">
        <f t="shared" si="6"/>
        <v>104.16666666666667</v>
      </c>
      <c r="H84" s="59">
        <f t="shared" si="6"/>
        <v>104.16666666666667</v>
      </c>
      <c r="I84" s="59">
        <f t="shared" si="6"/>
        <v>104.16666666666667</v>
      </c>
      <c r="J84" s="59">
        <f t="shared" si="6"/>
        <v>85.833333333333343</v>
      </c>
      <c r="K84" s="59">
        <f t="shared" si="6"/>
        <v>95.833333333333343</v>
      </c>
      <c r="L84" s="59">
        <f t="shared" si="6"/>
        <v>97.5</v>
      </c>
      <c r="M84" s="59">
        <f t="shared" si="6"/>
        <v>87.5</v>
      </c>
      <c r="N84" s="59">
        <f t="shared" si="6"/>
        <v>13.333333333333334</v>
      </c>
      <c r="O84" s="59">
        <f t="shared" si="6"/>
        <v>13.333333333333334</v>
      </c>
      <c r="P84" s="59">
        <f t="shared" si="6"/>
        <v>13.333333333333334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77.395833333333343</v>
      </c>
      <c r="C86" s="60">
        <f>(AVERAGE(E83:G83)/AVERAGE(E82:G82))*100</f>
        <v>98.3</v>
      </c>
      <c r="D86" s="60">
        <f>(AVERAGE(H83:J83)/AVERAGE(H82:J82))*100</f>
        <v>98.055555555555557</v>
      </c>
      <c r="E86" s="60">
        <f>(AVERAGE(K83:M83)/AVERAGE(K82:M82))*100</f>
        <v>93.611111111111128</v>
      </c>
      <c r="F86" s="60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9" customFormat="1" x14ac:dyDescent="0.2">
      <c r="A94" s="59" t="str">
        <f>$A$152</f>
        <v>% Plan</v>
      </c>
      <c r="B94" s="59">
        <f>(B93/B92)*100</f>
        <v>60</v>
      </c>
      <c r="C94" s="59">
        <f t="shared" ref="C94:D94" si="8">(C93/C92)*100</f>
        <v>60</v>
      </c>
      <c r="D94" s="59">
        <f t="shared" si="8"/>
        <v>40</v>
      </c>
      <c r="E94" s="62">
        <f>0</f>
        <v>0</v>
      </c>
      <c r="F94" s="62">
        <f>0</f>
        <v>0</v>
      </c>
      <c r="G94" s="62">
        <f>0</f>
        <v>0</v>
      </c>
      <c r="H94" s="62">
        <f>0</f>
        <v>0</v>
      </c>
      <c r="I94" s="62">
        <f>0</f>
        <v>0</v>
      </c>
      <c r="J94" s="62">
        <f>0</f>
        <v>0</v>
      </c>
      <c r="K94" s="62">
        <f>0</f>
        <v>0</v>
      </c>
      <c r="L94" s="62">
        <f>0</f>
        <v>0</v>
      </c>
      <c r="M94" s="62">
        <f>0</f>
        <v>0</v>
      </c>
      <c r="N94" s="62">
        <f>0</f>
        <v>0</v>
      </c>
      <c r="O94" s="62">
        <f>0</f>
        <v>0</v>
      </c>
      <c r="P94" s="62">
        <f>0</f>
        <v>0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53.333333333333336</v>
      </c>
      <c r="C96" s="61">
        <v>0</v>
      </c>
      <c r="D96" s="61">
        <v>0</v>
      </c>
      <c r="E96" s="61">
        <v>0</v>
      </c>
      <c r="F96" s="61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62.029999999999994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111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topLeftCell="A13" workbookViewId="0">
      <selection activeCell="L41" sqref="L41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9" customFormat="1" x14ac:dyDescent="0.2">
      <c r="A64" s="59" t="str">
        <f>$A$152</f>
        <v>% Plan</v>
      </c>
      <c r="B64" s="59">
        <f>(B63/B62)*100</f>
        <v>100</v>
      </c>
      <c r="C64" s="59">
        <f t="shared" ref="C64:P64" si="2">(C63/C62)*100</f>
        <v>100</v>
      </c>
      <c r="D64" s="59">
        <f t="shared" si="2"/>
        <v>100</v>
      </c>
      <c r="E64" s="59">
        <f t="shared" si="2"/>
        <v>100</v>
      </c>
      <c r="F64" s="59">
        <f t="shared" si="2"/>
        <v>100</v>
      </c>
      <c r="G64" s="59">
        <f t="shared" si="2"/>
        <v>100</v>
      </c>
      <c r="H64" s="59">
        <f t="shared" si="2"/>
        <v>100</v>
      </c>
      <c r="I64" s="59">
        <f t="shared" si="2"/>
        <v>100</v>
      </c>
      <c r="J64" s="59">
        <f t="shared" si="2"/>
        <v>100</v>
      </c>
      <c r="K64" s="59">
        <f t="shared" si="2"/>
        <v>100</v>
      </c>
      <c r="L64" s="59">
        <f t="shared" si="2"/>
        <v>100</v>
      </c>
      <c r="M64" s="59">
        <f t="shared" si="2"/>
        <v>100</v>
      </c>
      <c r="N64" s="59">
        <f t="shared" si="2"/>
        <v>100</v>
      </c>
      <c r="O64" s="59">
        <f t="shared" si="2"/>
        <v>100</v>
      </c>
      <c r="P64" s="59">
        <f t="shared" si="2"/>
        <v>100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9" customFormat="1" x14ac:dyDescent="0.2">
      <c r="A74" s="59" t="str">
        <f>$A$152</f>
        <v>% Plan</v>
      </c>
      <c r="B74" s="59">
        <f>(B73/B72)*100</f>
        <v>100</v>
      </c>
      <c r="C74" s="59">
        <f t="shared" ref="C74:P74" si="4">(C73/C72)*100</f>
        <v>100</v>
      </c>
      <c r="D74" s="59">
        <f t="shared" si="4"/>
        <v>100</v>
      </c>
      <c r="E74" s="59">
        <f t="shared" si="4"/>
        <v>100</v>
      </c>
      <c r="F74" s="59">
        <f t="shared" si="4"/>
        <v>100</v>
      </c>
      <c r="G74" s="59">
        <f t="shared" si="4"/>
        <v>100</v>
      </c>
      <c r="H74" s="59">
        <f t="shared" si="4"/>
        <v>100</v>
      </c>
      <c r="I74" s="59">
        <f t="shared" si="4"/>
        <v>100</v>
      </c>
      <c r="J74" s="59">
        <f t="shared" si="4"/>
        <v>100</v>
      </c>
      <c r="K74" s="59">
        <f t="shared" si="4"/>
        <v>100</v>
      </c>
      <c r="L74" s="59">
        <f t="shared" si="4"/>
        <v>100</v>
      </c>
      <c r="M74" s="59">
        <f t="shared" si="4"/>
        <v>100</v>
      </c>
      <c r="N74" s="59">
        <f t="shared" si="4"/>
        <v>100</v>
      </c>
      <c r="O74" s="59">
        <f t="shared" si="4"/>
        <v>100</v>
      </c>
      <c r="P74" s="59">
        <f t="shared" si="4"/>
        <v>100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100</v>
      </c>
      <c r="D76" s="60">
        <f>(AVERAGE(H73:J73)/AVERAGE(H72:J72))*100</f>
        <v>100</v>
      </c>
      <c r="E76" s="60">
        <f>(AVERAGE(K73:M73)/AVERAGE(K72:M72))*100</f>
        <v>100</v>
      </c>
      <c r="F76" s="60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9" customFormat="1" x14ac:dyDescent="0.2">
      <c r="A84" s="59" t="str">
        <f>$A$152</f>
        <v>% Plan</v>
      </c>
      <c r="B84" s="59">
        <f>(B83/B82)*100</f>
        <v>100</v>
      </c>
      <c r="C84" s="59">
        <f t="shared" ref="C84:P84" si="6">(C83/C82)*100</f>
        <v>100</v>
      </c>
      <c r="D84" s="59">
        <f t="shared" si="6"/>
        <v>100</v>
      </c>
      <c r="E84" s="59">
        <f t="shared" si="6"/>
        <v>100</v>
      </c>
      <c r="F84" s="59">
        <f t="shared" si="6"/>
        <v>100</v>
      </c>
      <c r="G84" s="59">
        <f t="shared" si="6"/>
        <v>100</v>
      </c>
      <c r="H84" s="59">
        <f t="shared" si="6"/>
        <v>100</v>
      </c>
      <c r="I84" s="59">
        <f t="shared" si="6"/>
        <v>100</v>
      </c>
      <c r="J84" s="59">
        <f t="shared" si="6"/>
        <v>100</v>
      </c>
      <c r="K84" s="59">
        <f t="shared" si="6"/>
        <v>100</v>
      </c>
      <c r="L84" s="59">
        <f t="shared" si="6"/>
        <v>100</v>
      </c>
      <c r="M84" s="59">
        <f t="shared" si="6"/>
        <v>100</v>
      </c>
      <c r="N84" s="59">
        <f t="shared" si="6"/>
        <v>100</v>
      </c>
      <c r="O84" s="59">
        <f t="shared" si="6"/>
        <v>100</v>
      </c>
      <c r="P84" s="59">
        <f t="shared" si="6"/>
        <v>100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100</v>
      </c>
      <c r="C86" s="60">
        <f>(AVERAGE(E83:G83)/AVERAGE(E82:G82))*100</f>
        <v>100</v>
      </c>
      <c r="D86" s="60">
        <f>(AVERAGE(H83:J83)/AVERAGE(H82:J82))*100</f>
        <v>100</v>
      </c>
      <c r="E86" s="60">
        <f>(AVERAGE(K83:M83)/AVERAGE(K82:M82))*100</f>
        <v>100</v>
      </c>
      <c r="F86" s="60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29"/>
  <sheetViews>
    <sheetView tabSelected="1" topLeftCell="A7" workbookViewId="0">
      <selection activeCell="E35" sqref="E35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3" t="str">
        <f>IF(Project!A22&gt;0,Project!A22,"")</f>
        <v>IT Dist</v>
      </c>
      <c r="C21" s="64" t="str">
        <f>IF(Project!A23&gt;0,Project!A23,"")</f>
        <v>SCGP e-Ordering</v>
      </c>
      <c r="D21" s="65" t="str">
        <f>IF(Project!A24&gt;0,Project!A24,"")</f>
        <v>CAP (Common AI Platform)</v>
      </c>
      <c r="E21" s="67" t="str">
        <f>IF(Project!A25&gt;0,Project!A25,"")</f>
        <v>PromptPlus</v>
      </c>
      <c r="F21" s="66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3">
        <f>IF(Project!B22&gt;0,Project!B22,"")</f>
        <v>36</v>
      </c>
      <c r="C22" s="64">
        <f>IF(Project!B23&gt;0,Project!B23,"")</f>
        <v>2.7</v>
      </c>
      <c r="D22" s="65" t="str">
        <f>IF(Project!B24&gt;0,Project!B24,"")</f>
        <v/>
      </c>
      <c r="E22" s="67" t="str">
        <f>IF(Project!B25&gt;0,Project!B25,"")</f>
        <v/>
      </c>
      <c r="F22" s="66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3" t="str">
        <f>IF(Project!C22&gt;0,Project!C22,"")</f>
        <v/>
      </c>
      <c r="C23" s="64">
        <f>IF(Project!C23&gt;0,Project!C23,"")</f>
        <v>154.05000000000001</v>
      </c>
      <c r="D23" s="65">
        <f>IF(Project!C24&gt;0,Project!C24,"")</f>
        <v>63.6</v>
      </c>
      <c r="E23" s="67">
        <f>IF(Project!C25&gt;0,Project!C25,"")</f>
        <v>27.375</v>
      </c>
      <c r="F23" s="66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3" t="str">
        <f>IF(Project!D22&gt;0,Project!D22,"")</f>
        <v/>
      </c>
      <c r="C24" s="64">
        <f>IF(Project!D23&gt;0,Project!D23,"")</f>
        <v>5.13</v>
      </c>
      <c r="D24" s="65" t="str">
        <f>IF(Project!D24&gt;0,Project!D24,"")</f>
        <v/>
      </c>
      <c r="E24" s="67" t="str">
        <f>IF(Project!D25&gt;0,Project!D25,"")</f>
        <v/>
      </c>
      <c r="F24" s="66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3" t="str">
        <f>IF(Project!E22&gt;0,Project!E22,"")</f>
        <v/>
      </c>
      <c r="C25" s="64">
        <f>IF(Project!E23&gt;0,Project!E23,"")</f>
        <v>0.9</v>
      </c>
      <c r="D25" s="65" t="str">
        <f>IF(Project!E24&gt;0,Project!E24,"")</f>
        <v/>
      </c>
      <c r="E25" s="67" t="str">
        <f>IF(Project!E25&gt;0,Project!E25,"")</f>
        <v/>
      </c>
      <c r="F25" s="66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3" t="str">
        <f>IF(Project!F22&gt;0,Project!F22,"")</f>
        <v/>
      </c>
      <c r="C26" s="64" t="str">
        <f>IF(Project!F23&gt;0,Project!F23,"")</f>
        <v/>
      </c>
      <c r="D26" s="65" t="str">
        <f>IF(Project!F24&gt;0,Project!F24,"")</f>
        <v/>
      </c>
      <c r="E26" s="67" t="str">
        <f>IF(Project!F25&gt;0,Project!F25,"")</f>
        <v/>
      </c>
      <c r="F26" s="66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3">
        <f>IF(Project!G22&gt;0,Project!G22,"")</f>
        <v>180</v>
      </c>
      <c r="C27" s="64" t="str">
        <f>IF(Project!G23&gt;0,Project!G23,"")</f>
        <v/>
      </c>
      <c r="D27" s="65" t="str">
        <f>IF(Project!G24&gt;0,Project!G24,"")</f>
        <v/>
      </c>
      <c r="E27" s="67">
        <f>IF(Project!G25&gt;0,Project!G25,"")</f>
        <v>23.7</v>
      </c>
      <c r="F27" s="66" t="str">
        <f>IF(Project!G26&gt;0,Project!G26,"")</f>
        <v/>
      </c>
    </row>
    <row r="28" spans="1:20" x14ac:dyDescent="0.2">
      <c r="A28" s="58" t="str">
        <f>IF(Project!H21&gt;0,Project!H21,"")</f>
        <v>FTE</v>
      </c>
      <c r="B28" s="63">
        <f>IF(Project!H22&gt;0,Project!H22,"")</f>
        <v>216</v>
      </c>
      <c r="C28" s="64">
        <f>IF(Project!H23&gt;0,Project!H23,"")</f>
        <v>162.78</v>
      </c>
      <c r="D28" s="65">
        <f>IF(Project!H24&gt;0,Project!H24,"")</f>
        <v>63.6</v>
      </c>
      <c r="E28" s="67">
        <f>IF(Project!H25&gt;0,Project!H25,"")</f>
        <v>51.075000000000003</v>
      </c>
      <c r="F28" s="66">
        <f>IF(Project!H26&gt;0,Project!H26,"")</f>
        <v>35.454999999999998</v>
      </c>
    </row>
    <row r="29" spans="1:20" x14ac:dyDescent="0.2">
      <c r="A29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2026-05-13T12:20:36Z</dcterms:modified>
</cp:coreProperties>
</file>