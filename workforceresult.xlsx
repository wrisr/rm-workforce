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miintra/Desktop/"/>
    </mc:Choice>
  </mc:AlternateContent>
  <xr:revisionPtr revIDLastSave="0" documentId="13_ncr:1_{17E91E87-C843-4448-9809-B65EEDA6C041}" xr6:coauthVersionLast="47" xr6:coauthVersionMax="47" xr10:uidLastSave="{00000000-0000-0000-0000-000000000000}"/>
  <bookViews>
    <workbookView xWindow="0" yWindow="500" windowWidth="28800" windowHeight="16120" activeTab="13" xr2:uid="{9B62DE01-5AE9-7A46-A5D4-95A9ED94E5A6}"/>
  </bookViews>
  <sheets>
    <sheet name="ALL" sheetId="1" r:id="rId1"/>
    <sheet name="GraphAll" sheetId="3" r:id="rId2"/>
    <sheet name="CPS" sheetId="2" r:id="rId3"/>
    <sheet name="GraphCPS" sheetId="4" r:id="rId4"/>
    <sheet name="PSE" sheetId="5" r:id="rId5"/>
    <sheet name="GraphPSE" sheetId="6" r:id="rId6"/>
    <sheet name="SD" sheetId="7" r:id="rId7"/>
    <sheet name="GraphSD" sheetId="8" r:id="rId8"/>
    <sheet name="AIC" sheetId="9" r:id="rId9"/>
    <sheet name="GraphAIC" sheetId="10" r:id="rId10"/>
    <sheet name="TDE" sheetId="11" r:id="rId11"/>
    <sheet name="GraphTDE" sheetId="12" r:id="rId12"/>
    <sheet name="Project" sheetId="13" r:id="rId13"/>
    <sheet name="GraphPJ" sheetId="14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53" i="12" l="1"/>
  <c r="O153" i="12"/>
  <c r="N153" i="12"/>
  <c r="M153" i="12"/>
  <c r="L153" i="12"/>
  <c r="K153" i="12"/>
  <c r="J153" i="12"/>
  <c r="I153" i="12"/>
  <c r="H153" i="12"/>
  <c r="G153" i="12"/>
  <c r="F153" i="12"/>
  <c r="E153" i="12"/>
  <c r="D153" i="12"/>
  <c r="C153" i="12"/>
  <c r="B153" i="12"/>
  <c r="A153" i="12"/>
  <c r="P152" i="12"/>
  <c r="O152" i="12"/>
  <c r="N152" i="12"/>
  <c r="M152" i="12"/>
  <c r="L152" i="12"/>
  <c r="K152" i="12"/>
  <c r="J152" i="12"/>
  <c r="I152" i="12"/>
  <c r="H152" i="12"/>
  <c r="G152" i="12"/>
  <c r="F152" i="12"/>
  <c r="E152" i="12"/>
  <c r="D152" i="12"/>
  <c r="C152" i="12"/>
  <c r="B152" i="12"/>
  <c r="A152" i="12"/>
  <c r="P151" i="12"/>
  <c r="O151" i="12"/>
  <c r="N151" i="12"/>
  <c r="M151" i="12"/>
  <c r="L151" i="12"/>
  <c r="K151" i="12"/>
  <c r="J151" i="12"/>
  <c r="I151" i="12"/>
  <c r="H151" i="12"/>
  <c r="G151" i="12"/>
  <c r="F151" i="12"/>
  <c r="E151" i="12"/>
  <c r="D151" i="12"/>
  <c r="C151" i="12"/>
  <c r="B151" i="12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D153" i="10"/>
  <c r="C153" i="10"/>
  <c r="B153" i="10"/>
  <c r="A153" i="10"/>
  <c r="P152" i="10"/>
  <c r="O152" i="10"/>
  <c r="N152" i="10"/>
  <c r="M152" i="10"/>
  <c r="L152" i="10"/>
  <c r="K152" i="10"/>
  <c r="J152" i="10"/>
  <c r="I152" i="10"/>
  <c r="H152" i="10"/>
  <c r="G152" i="10"/>
  <c r="F152" i="10"/>
  <c r="E152" i="10"/>
  <c r="D152" i="10"/>
  <c r="C152" i="10"/>
  <c r="B152" i="10"/>
  <c r="A152" i="10"/>
  <c r="P151" i="10"/>
  <c r="O151" i="10"/>
  <c r="N151" i="10"/>
  <c r="M151" i="10"/>
  <c r="L151" i="10"/>
  <c r="K151" i="10"/>
  <c r="J151" i="10"/>
  <c r="I151" i="10"/>
  <c r="H151" i="10"/>
  <c r="G151" i="10"/>
  <c r="F151" i="10"/>
  <c r="E151" i="10"/>
  <c r="D151" i="10"/>
  <c r="C151" i="10"/>
  <c r="B151" i="10"/>
  <c r="B151" i="6"/>
  <c r="C151" i="6"/>
  <c r="D151" i="6"/>
  <c r="E151" i="6"/>
  <c r="F151" i="6"/>
  <c r="G151" i="6"/>
  <c r="H151" i="6"/>
  <c r="I151" i="6"/>
  <c r="J151" i="6"/>
  <c r="K151" i="6"/>
  <c r="L151" i="6"/>
  <c r="M151" i="6"/>
  <c r="N151" i="6"/>
  <c r="O151" i="6"/>
  <c r="P151" i="6"/>
  <c r="A152" i="6"/>
  <c r="B152" i="6"/>
  <c r="C152" i="6"/>
  <c r="D152" i="6"/>
  <c r="E152" i="6"/>
  <c r="F152" i="6"/>
  <c r="G152" i="6"/>
  <c r="H152" i="6"/>
  <c r="I152" i="6"/>
  <c r="J152" i="6"/>
  <c r="K152" i="6"/>
  <c r="L152" i="6"/>
  <c r="M152" i="6"/>
  <c r="N152" i="6"/>
  <c r="O152" i="6"/>
  <c r="P152" i="6"/>
  <c r="A153" i="6"/>
  <c r="B153" i="6"/>
  <c r="C153" i="6"/>
  <c r="D153" i="6"/>
  <c r="E153" i="6"/>
  <c r="F153" i="6"/>
  <c r="G153" i="6"/>
  <c r="H153" i="6"/>
  <c r="I153" i="6"/>
  <c r="J153" i="6"/>
  <c r="K153" i="6"/>
  <c r="L153" i="6"/>
  <c r="M153" i="6"/>
  <c r="N153" i="6"/>
  <c r="O153" i="6"/>
  <c r="P153" i="6"/>
  <c r="P153" i="4"/>
  <c r="O153" i="4"/>
  <c r="N153" i="4"/>
  <c r="M153" i="4"/>
  <c r="L153" i="4"/>
  <c r="K153" i="4"/>
  <c r="J153" i="4"/>
  <c r="I153" i="4"/>
  <c r="H153" i="4"/>
  <c r="G153" i="4"/>
  <c r="F153" i="4"/>
  <c r="E153" i="4"/>
  <c r="D153" i="4"/>
  <c r="C153" i="4"/>
  <c r="B153" i="4"/>
  <c r="A153" i="4"/>
  <c r="P152" i="4"/>
  <c r="O152" i="4"/>
  <c r="N152" i="4"/>
  <c r="M152" i="4"/>
  <c r="L152" i="4"/>
  <c r="K152" i="4"/>
  <c r="J152" i="4"/>
  <c r="I152" i="4"/>
  <c r="H152" i="4"/>
  <c r="G152" i="4"/>
  <c r="F152" i="4"/>
  <c r="E152" i="4"/>
  <c r="D152" i="4"/>
  <c r="C152" i="4"/>
  <c r="B152" i="4"/>
  <c r="A152" i="4"/>
  <c r="P151" i="4"/>
  <c r="O151" i="4"/>
  <c r="N151" i="4"/>
  <c r="M151" i="4"/>
  <c r="L151" i="4"/>
  <c r="K151" i="4"/>
  <c r="J151" i="4"/>
  <c r="I151" i="4"/>
  <c r="H151" i="4"/>
  <c r="G151" i="4"/>
  <c r="F151" i="4"/>
  <c r="E151" i="4"/>
  <c r="D151" i="4"/>
  <c r="C151" i="4"/>
  <c r="B151" i="4"/>
  <c r="P153" i="3"/>
  <c r="O153" i="3"/>
  <c r="N153" i="3"/>
  <c r="M153" i="3"/>
  <c r="L153" i="3"/>
  <c r="K153" i="3"/>
  <c r="J153" i="3"/>
  <c r="I153" i="3"/>
  <c r="H153" i="3"/>
  <c r="G153" i="3"/>
  <c r="F153" i="3"/>
  <c r="E153" i="3"/>
  <c r="D153" i="3"/>
  <c r="C153" i="3"/>
  <c r="B153" i="3"/>
  <c r="A153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D152" i="3"/>
  <c r="C152" i="3"/>
  <c r="B152" i="3"/>
  <c r="A152" i="3"/>
  <c r="P151" i="3"/>
  <c r="O151" i="3"/>
  <c r="N151" i="3"/>
  <c r="M151" i="3"/>
  <c r="L151" i="3"/>
  <c r="K151" i="3"/>
  <c r="J151" i="3"/>
  <c r="I151" i="3"/>
  <c r="H151" i="3"/>
  <c r="G151" i="3"/>
  <c r="F151" i="3"/>
  <c r="E151" i="3"/>
  <c r="D151" i="3"/>
  <c r="C151" i="3"/>
  <c r="B151" i="3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B151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A153" i="8"/>
  <c r="A152" i="8"/>
  <c r="B1" i="14"/>
  <c r="C1" i="14"/>
  <c r="D1" i="14"/>
  <c r="E1" i="14"/>
  <c r="F1" i="14"/>
  <c r="G1" i="14"/>
  <c r="H1" i="14"/>
  <c r="I1" i="14"/>
  <c r="J1" i="14"/>
  <c r="K1" i="14"/>
  <c r="L1" i="14"/>
  <c r="M1" i="14"/>
  <c r="N1" i="14"/>
  <c r="O1" i="14"/>
  <c r="P1" i="14"/>
  <c r="Q1" i="14"/>
  <c r="R1" i="14"/>
  <c r="S1" i="14"/>
  <c r="T1" i="14"/>
  <c r="B2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B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A2" i="14"/>
  <c r="A3" i="14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1" i="14"/>
  <c r="A71" i="12"/>
  <c r="A81" i="12"/>
  <c r="B82" i="12"/>
  <c r="C82" i="12"/>
  <c r="D82" i="12"/>
  <c r="E82" i="12"/>
  <c r="F82" i="12"/>
  <c r="G82" i="12"/>
  <c r="H82" i="12"/>
  <c r="I82" i="12"/>
  <c r="J82" i="12"/>
  <c r="K82" i="12"/>
  <c r="L82" i="12"/>
  <c r="M82" i="12"/>
  <c r="N82" i="12"/>
  <c r="O82" i="12"/>
  <c r="P82" i="12"/>
  <c r="B83" i="12"/>
  <c r="C83" i="12"/>
  <c r="D83" i="12"/>
  <c r="E83" i="12"/>
  <c r="F83" i="12"/>
  <c r="G83" i="12"/>
  <c r="H83" i="12"/>
  <c r="I83" i="12"/>
  <c r="J83" i="12"/>
  <c r="K83" i="12"/>
  <c r="L83" i="12"/>
  <c r="M83" i="12"/>
  <c r="N83" i="12"/>
  <c r="O83" i="12"/>
  <c r="P83" i="12"/>
  <c r="A83" i="12"/>
  <c r="A82" i="12"/>
  <c r="B72" i="12"/>
  <c r="C72" i="12"/>
  <c r="D72" i="12"/>
  <c r="E72" i="12"/>
  <c r="F72" i="12"/>
  <c r="G72" i="12"/>
  <c r="H72" i="12"/>
  <c r="I72" i="12"/>
  <c r="J72" i="12"/>
  <c r="K72" i="12"/>
  <c r="L72" i="12"/>
  <c r="M72" i="12"/>
  <c r="N72" i="12"/>
  <c r="O72" i="12"/>
  <c r="P72" i="12"/>
  <c r="B73" i="12"/>
  <c r="C73" i="12"/>
  <c r="D73" i="12"/>
  <c r="E73" i="12"/>
  <c r="F73" i="12"/>
  <c r="G73" i="12"/>
  <c r="H73" i="12"/>
  <c r="I73" i="12"/>
  <c r="J73" i="12"/>
  <c r="K73" i="12"/>
  <c r="L73" i="12"/>
  <c r="M73" i="12"/>
  <c r="N73" i="12"/>
  <c r="O73" i="12"/>
  <c r="P73" i="12"/>
  <c r="A73" i="12"/>
  <c r="A72" i="12"/>
  <c r="P81" i="12"/>
  <c r="O81" i="12"/>
  <c r="N81" i="12"/>
  <c r="M81" i="12"/>
  <c r="L81" i="12"/>
  <c r="K81" i="12"/>
  <c r="J81" i="12"/>
  <c r="I81" i="12"/>
  <c r="H81" i="12"/>
  <c r="G81" i="12"/>
  <c r="F81" i="12"/>
  <c r="E81" i="12"/>
  <c r="D81" i="12"/>
  <c r="C81" i="12"/>
  <c r="B81" i="12"/>
  <c r="P71" i="12"/>
  <c r="O71" i="12"/>
  <c r="N71" i="12"/>
  <c r="M71" i="12"/>
  <c r="L71" i="12"/>
  <c r="K71" i="12"/>
  <c r="J71" i="12"/>
  <c r="I71" i="12"/>
  <c r="H71" i="12"/>
  <c r="G71" i="12"/>
  <c r="F71" i="12"/>
  <c r="E71" i="12"/>
  <c r="D71" i="12"/>
  <c r="C71" i="12"/>
  <c r="B71" i="12"/>
  <c r="P63" i="12"/>
  <c r="O63" i="12"/>
  <c r="N63" i="12"/>
  <c r="M63" i="12"/>
  <c r="L63" i="12"/>
  <c r="K63" i="12"/>
  <c r="J63" i="12"/>
  <c r="I63" i="12"/>
  <c r="H63" i="12"/>
  <c r="G63" i="12"/>
  <c r="F63" i="12"/>
  <c r="E63" i="12"/>
  <c r="D63" i="12"/>
  <c r="C63" i="12"/>
  <c r="B63" i="12"/>
  <c r="A63" i="12"/>
  <c r="P62" i="12"/>
  <c r="O62" i="12"/>
  <c r="N62" i="12"/>
  <c r="M62" i="12"/>
  <c r="L62" i="12"/>
  <c r="K62" i="12"/>
  <c r="J62" i="12"/>
  <c r="I62" i="12"/>
  <c r="H62" i="12"/>
  <c r="G62" i="12"/>
  <c r="F62" i="12"/>
  <c r="E62" i="12"/>
  <c r="D62" i="12"/>
  <c r="C62" i="12"/>
  <c r="B62" i="12"/>
  <c r="A62" i="12"/>
  <c r="P61" i="12"/>
  <c r="O61" i="12"/>
  <c r="N61" i="12"/>
  <c r="M61" i="12"/>
  <c r="L61" i="12"/>
  <c r="K61" i="12"/>
  <c r="J61" i="12"/>
  <c r="I61" i="12"/>
  <c r="H61" i="12"/>
  <c r="G61" i="12"/>
  <c r="F61" i="12"/>
  <c r="E61" i="12"/>
  <c r="D61" i="12"/>
  <c r="C61" i="12"/>
  <c r="B61" i="12"/>
  <c r="A61" i="12"/>
  <c r="P53" i="12"/>
  <c r="O53" i="12"/>
  <c r="N53" i="12"/>
  <c r="M53" i="12"/>
  <c r="L53" i="12"/>
  <c r="K53" i="12"/>
  <c r="J53" i="12"/>
  <c r="I53" i="12"/>
  <c r="H53" i="12"/>
  <c r="G53" i="12"/>
  <c r="F53" i="12"/>
  <c r="E53" i="12"/>
  <c r="D53" i="12"/>
  <c r="C53" i="12"/>
  <c r="B53" i="12"/>
  <c r="A53" i="12"/>
  <c r="P52" i="12"/>
  <c r="O52" i="12"/>
  <c r="N52" i="12"/>
  <c r="M52" i="12"/>
  <c r="L52" i="12"/>
  <c r="K52" i="12"/>
  <c r="J52" i="12"/>
  <c r="I52" i="12"/>
  <c r="H52" i="12"/>
  <c r="G52" i="12"/>
  <c r="F52" i="12"/>
  <c r="E52" i="12"/>
  <c r="D52" i="12"/>
  <c r="C52" i="12"/>
  <c r="B52" i="12"/>
  <c r="A52" i="12"/>
  <c r="P51" i="12"/>
  <c r="O51" i="12"/>
  <c r="N51" i="12"/>
  <c r="M51" i="12"/>
  <c r="L51" i="12"/>
  <c r="K51" i="12"/>
  <c r="J51" i="12"/>
  <c r="I51" i="12"/>
  <c r="H51" i="12"/>
  <c r="G51" i="12"/>
  <c r="F51" i="12"/>
  <c r="E51" i="12"/>
  <c r="D51" i="12"/>
  <c r="C51" i="12"/>
  <c r="B51" i="12"/>
  <c r="A51" i="12"/>
  <c r="F47" i="12"/>
  <c r="E47" i="12"/>
  <c r="D47" i="12"/>
  <c r="C47" i="12"/>
  <c r="B47" i="12"/>
  <c r="A47" i="12"/>
  <c r="F46" i="12"/>
  <c r="E46" i="12"/>
  <c r="D46" i="12"/>
  <c r="C46" i="12"/>
  <c r="B46" i="12"/>
  <c r="A46" i="12"/>
  <c r="F45" i="12"/>
  <c r="E45" i="12"/>
  <c r="D45" i="12"/>
  <c r="C45" i="12"/>
  <c r="B45" i="12"/>
  <c r="A45" i="12"/>
  <c r="F44" i="12"/>
  <c r="E44" i="12"/>
  <c r="D44" i="12"/>
  <c r="C44" i="12"/>
  <c r="B44" i="12"/>
  <c r="A44" i="12"/>
  <c r="F43" i="12"/>
  <c r="E43" i="12"/>
  <c r="D43" i="12"/>
  <c r="C43" i="12"/>
  <c r="B43" i="12"/>
  <c r="A43" i="12"/>
  <c r="F42" i="12"/>
  <c r="E42" i="12"/>
  <c r="D42" i="12"/>
  <c r="C42" i="12"/>
  <c r="B42" i="12"/>
  <c r="A42" i="12"/>
  <c r="F41" i="12"/>
  <c r="E41" i="12"/>
  <c r="D41" i="12"/>
  <c r="C41" i="12"/>
  <c r="B41" i="12"/>
  <c r="P34" i="12"/>
  <c r="O34" i="12"/>
  <c r="N34" i="12"/>
  <c r="M34" i="12"/>
  <c r="L34" i="12"/>
  <c r="K34" i="12"/>
  <c r="J34" i="12"/>
  <c r="I34" i="12"/>
  <c r="H34" i="12"/>
  <c r="G34" i="12"/>
  <c r="F34" i="12"/>
  <c r="E34" i="12"/>
  <c r="D34" i="12"/>
  <c r="C34" i="12"/>
  <c r="B34" i="12"/>
  <c r="A34" i="12"/>
  <c r="P33" i="12"/>
  <c r="O33" i="12"/>
  <c r="N33" i="12"/>
  <c r="M33" i="12"/>
  <c r="L33" i="12"/>
  <c r="K33" i="12"/>
  <c r="J33" i="12"/>
  <c r="I33" i="12"/>
  <c r="H33" i="12"/>
  <c r="G33" i="12"/>
  <c r="F33" i="12"/>
  <c r="E33" i="12"/>
  <c r="D33" i="12"/>
  <c r="C33" i="12"/>
  <c r="B33" i="12"/>
  <c r="A33" i="12"/>
  <c r="P32" i="12"/>
  <c r="O32" i="12"/>
  <c r="N32" i="12"/>
  <c r="M32" i="12"/>
  <c r="L32" i="12"/>
  <c r="K32" i="12"/>
  <c r="J32" i="12"/>
  <c r="I32" i="12"/>
  <c r="H32" i="12"/>
  <c r="G32" i="12"/>
  <c r="F32" i="12"/>
  <c r="E32" i="12"/>
  <c r="D32" i="12"/>
  <c r="C32" i="12"/>
  <c r="B32" i="12"/>
  <c r="A32" i="12"/>
  <c r="P31" i="12"/>
  <c r="O31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B31" i="12"/>
  <c r="P24" i="12"/>
  <c r="O24" i="12"/>
  <c r="N24" i="12"/>
  <c r="M24" i="12"/>
  <c r="L24" i="12"/>
  <c r="K24" i="12"/>
  <c r="J24" i="12"/>
  <c r="I24" i="12"/>
  <c r="H24" i="12"/>
  <c r="G24" i="12"/>
  <c r="F24" i="12"/>
  <c r="E24" i="12"/>
  <c r="D24" i="12"/>
  <c r="C24" i="12"/>
  <c r="B24" i="12"/>
  <c r="A24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B23" i="12"/>
  <c r="A23" i="12"/>
  <c r="P22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B22" i="12"/>
  <c r="A22" i="12"/>
  <c r="P21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B21" i="12"/>
  <c r="P14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A14" i="12"/>
  <c r="P13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B13" i="12"/>
  <c r="A13" i="12"/>
  <c r="P12" i="12"/>
  <c r="O12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B12" i="12"/>
  <c r="A12" i="12"/>
  <c r="P11" i="12"/>
  <c r="O11" i="12"/>
  <c r="N11" i="12"/>
  <c r="M11" i="12"/>
  <c r="L11" i="12"/>
  <c r="K11" i="12"/>
  <c r="J11" i="12"/>
  <c r="I11" i="12"/>
  <c r="H11" i="12"/>
  <c r="G11" i="12"/>
  <c r="F11" i="12"/>
  <c r="E11" i="12"/>
  <c r="D11" i="12"/>
  <c r="C11" i="12"/>
  <c r="B11" i="12"/>
  <c r="P7" i="12"/>
  <c r="O7" i="12"/>
  <c r="N7" i="12"/>
  <c r="M7" i="12"/>
  <c r="L7" i="12"/>
  <c r="K7" i="12"/>
  <c r="J7" i="12"/>
  <c r="I7" i="12"/>
  <c r="H7" i="12"/>
  <c r="G7" i="12"/>
  <c r="F7" i="12"/>
  <c r="E7" i="12"/>
  <c r="D7" i="12"/>
  <c r="C7" i="12"/>
  <c r="B7" i="12"/>
  <c r="A7" i="12"/>
  <c r="P6" i="12"/>
  <c r="O6" i="12"/>
  <c r="N6" i="12"/>
  <c r="M6" i="12"/>
  <c r="L6" i="12"/>
  <c r="K6" i="12"/>
  <c r="J6" i="12"/>
  <c r="I6" i="12"/>
  <c r="H6" i="12"/>
  <c r="G6" i="12"/>
  <c r="F6" i="12"/>
  <c r="E6" i="12"/>
  <c r="D6" i="12"/>
  <c r="C6" i="12"/>
  <c r="B6" i="12"/>
  <c r="A6" i="12"/>
  <c r="P5" i="12"/>
  <c r="O5" i="12"/>
  <c r="N5" i="12"/>
  <c r="M5" i="12"/>
  <c r="L5" i="12"/>
  <c r="K5" i="12"/>
  <c r="J5" i="12"/>
  <c r="I5" i="12"/>
  <c r="H5" i="12"/>
  <c r="G5" i="12"/>
  <c r="F5" i="12"/>
  <c r="E5" i="12"/>
  <c r="D5" i="12"/>
  <c r="C5" i="12"/>
  <c r="B5" i="12"/>
  <c r="A5" i="12"/>
  <c r="P4" i="12"/>
  <c r="O4" i="12"/>
  <c r="N4" i="12"/>
  <c r="M4" i="12"/>
  <c r="L4" i="12"/>
  <c r="K4" i="12"/>
  <c r="J4" i="12"/>
  <c r="I4" i="12"/>
  <c r="H4" i="12"/>
  <c r="G4" i="12"/>
  <c r="F4" i="12"/>
  <c r="E4" i="12"/>
  <c r="D4" i="12"/>
  <c r="C4" i="12"/>
  <c r="B4" i="12"/>
  <c r="A4" i="12"/>
  <c r="P3" i="12"/>
  <c r="O3" i="12"/>
  <c r="N3" i="12"/>
  <c r="M3" i="12"/>
  <c r="L3" i="12"/>
  <c r="K3" i="12"/>
  <c r="J3" i="12"/>
  <c r="I3" i="12"/>
  <c r="H3" i="12"/>
  <c r="G3" i="12"/>
  <c r="F3" i="12"/>
  <c r="E3" i="12"/>
  <c r="D3" i="12"/>
  <c r="C3" i="12"/>
  <c r="B3" i="12"/>
  <c r="A3" i="12"/>
  <c r="P2" i="12"/>
  <c r="O2" i="12"/>
  <c r="N2" i="12"/>
  <c r="M2" i="12"/>
  <c r="L2" i="12"/>
  <c r="K2" i="12"/>
  <c r="J2" i="12"/>
  <c r="I2" i="12"/>
  <c r="H2" i="12"/>
  <c r="G2" i="12"/>
  <c r="F2" i="12"/>
  <c r="E2" i="12"/>
  <c r="D2" i="12"/>
  <c r="C2" i="12"/>
  <c r="B2" i="12"/>
  <c r="A2" i="12"/>
  <c r="P1" i="12"/>
  <c r="O1" i="12"/>
  <c r="N1" i="12"/>
  <c r="M1" i="12"/>
  <c r="L1" i="12"/>
  <c r="K1" i="12"/>
  <c r="J1" i="12"/>
  <c r="I1" i="12"/>
  <c r="H1" i="12"/>
  <c r="G1" i="12"/>
  <c r="F1" i="12"/>
  <c r="E1" i="12"/>
  <c r="D1" i="12"/>
  <c r="C1" i="12"/>
  <c r="B1" i="12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B33" i="10"/>
  <c r="B34" i="10"/>
  <c r="B3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B23" i="10"/>
  <c r="B24" i="10"/>
  <c r="B22" i="10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C24" i="6"/>
  <c r="D24" i="6"/>
  <c r="E24" i="6"/>
  <c r="F24" i="6"/>
  <c r="G24" i="6"/>
  <c r="H24" i="6"/>
  <c r="I24" i="6"/>
  <c r="J24" i="6"/>
  <c r="K24" i="6"/>
  <c r="L24" i="6"/>
  <c r="M24" i="6"/>
  <c r="N24" i="6"/>
  <c r="O24" i="6"/>
  <c r="P24" i="6"/>
  <c r="B23" i="6"/>
  <c r="B24" i="6"/>
  <c r="B22" i="6"/>
  <c r="C32" i="6"/>
  <c r="D32" i="6"/>
  <c r="E32" i="6"/>
  <c r="F32" i="6"/>
  <c r="G32" i="6"/>
  <c r="H32" i="6"/>
  <c r="I32" i="6"/>
  <c r="J32" i="6"/>
  <c r="K32" i="6"/>
  <c r="L32" i="6"/>
  <c r="M32" i="6"/>
  <c r="N32" i="6"/>
  <c r="O32" i="6"/>
  <c r="P32" i="6"/>
  <c r="C33" i="6"/>
  <c r="D33" i="6"/>
  <c r="E33" i="6"/>
  <c r="F33" i="6"/>
  <c r="G33" i="6"/>
  <c r="H33" i="6"/>
  <c r="I33" i="6"/>
  <c r="J33" i="6"/>
  <c r="K33" i="6"/>
  <c r="L33" i="6"/>
  <c r="M33" i="6"/>
  <c r="N33" i="6"/>
  <c r="O33" i="6"/>
  <c r="P33" i="6"/>
  <c r="C34" i="6"/>
  <c r="D34" i="6"/>
  <c r="E34" i="6"/>
  <c r="F34" i="6"/>
  <c r="G34" i="6"/>
  <c r="H34" i="6"/>
  <c r="I34" i="6"/>
  <c r="J34" i="6"/>
  <c r="K34" i="6"/>
  <c r="L34" i="6"/>
  <c r="M34" i="6"/>
  <c r="N34" i="6"/>
  <c r="O34" i="6"/>
  <c r="P34" i="6"/>
  <c r="B33" i="6"/>
  <c r="B34" i="6"/>
  <c r="B32" i="6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B33" i="4"/>
  <c r="B34" i="4"/>
  <c r="B3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B23" i="4"/>
  <c r="B24" i="4"/>
  <c r="B22" i="4"/>
  <c r="A23" i="4"/>
  <c r="A24" i="4"/>
  <c r="A22" i="4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A93" i="10"/>
  <c r="A91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A83" i="10"/>
  <c r="A81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A73" i="10"/>
  <c r="A71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A63" i="10"/>
  <c r="A61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A53" i="10"/>
  <c r="A52" i="10"/>
  <c r="A92" i="10"/>
  <c r="A82" i="10"/>
  <c r="A72" i="10"/>
  <c r="A62" i="10"/>
  <c r="P91" i="10"/>
  <c r="O91" i="10"/>
  <c r="N91" i="10"/>
  <c r="M91" i="10"/>
  <c r="L91" i="10"/>
  <c r="K91" i="10"/>
  <c r="J91" i="10"/>
  <c r="I91" i="10"/>
  <c r="H91" i="10"/>
  <c r="G91" i="10"/>
  <c r="F91" i="10"/>
  <c r="E91" i="10"/>
  <c r="D91" i="10"/>
  <c r="C91" i="10"/>
  <c r="B91" i="10"/>
  <c r="P81" i="10"/>
  <c r="O81" i="10"/>
  <c r="N81" i="10"/>
  <c r="M81" i="10"/>
  <c r="L81" i="10"/>
  <c r="K81" i="10"/>
  <c r="J81" i="10"/>
  <c r="I81" i="10"/>
  <c r="H81" i="10"/>
  <c r="G81" i="10"/>
  <c r="F81" i="10"/>
  <c r="E81" i="10"/>
  <c r="D81" i="10"/>
  <c r="C81" i="10"/>
  <c r="B8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B7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B61" i="10"/>
  <c r="A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B51" i="10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A63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A73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A83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A93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A103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A113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A123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A133" i="8"/>
  <c r="A131" i="8"/>
  <c r="A132" i="8"/>
  <c r="A121" i="8"/>
  <c r="A122" i="8"/>
  <c r="A111" i="8"/>
  <c r="A112" i="8"/>
  <c r="A101" i="8"/>
  <c r="A102" i="8"/>
  <c r="A91" i="8"/>
  <c r="A92" i="8"/>
  <c r="A81" i="8"/>
  <c r="A71" i="8"/>
  <c r="A61" i="8"/>
  <c r="A82" i="8"/>
  <c r="A72" i="8"/>
  <c r="A62" i="8"/>
  <c r="P131" i="8"/>
  <c r="O131" i="8"/>
  <c r="N131" i="8"/>
  <c r="M131" i="8"/>
  <c r="L131" i="8"/>
  <c r="K131" i="8"/>
  <c r="J131" i="8"/>
  <c r="I131" i="8"/>
  <c r="H131" i="8"/>
  <c r="G131" i="8"/>
  <c r="F131" i="8"/>
  <c r="E131" i="8"/>
  <c r="D131" i="8"/>
  <c r="C131" i="8"/>
  <c r="B131" i="8"/>
  <c r="P121" i="8"/>
  <c r="O121" i="8"/>
  <c r="N121" i="8"/>
  <c r="M121" i="8"/>
  <c r="L121" i="8"/>
  <c r="K121" i="8"/>
  <c r="J121" i="8"/>
  <c r="I121" i="8"/>
  <c r="H121" i="8"/>
  <c r="G121" i="8"/>
  <c r="F121" i="8"/>
  <c r="E121" i="8"/>
  <c r="D121" i="8"/>
  <c r="C121" i="8"/>
  <c r="B121" i="8"/>
  <c r="P111" i="8"/>
  <c r="O111" i="8"/>
  <c r="N111" i="8"/>
  <c r="M111" i="8"/>
  <c r="L111" i="8"/>
  <c r="K111" i="8"/>
  <c r="J111" i="8"/>
  <c r="I111" i="8"/>
  <c r="H111" i="8"/>
  <c r="G111" i="8"/>
  <c r="F111" i="8"/>
  <c r="E111" i="8"/>
  <c r="D111" i="8"/>
  <c r="C111" i="8"/>
  <c r="B111" i="8"/>
  <c r="P101" i="8"/>
  <c r="O101" i="8"/>
  <c r="N101" i="8"/>
  <c r="M101" i="8"/>
  <c r="L101" i="8"/>
  <c r="K101" i="8"/>
  <c r="J101" i="8"/>
  <c r="I101" i="8"/>
  <c r="H101" i="8"/>
  <c r="G101" i="8"/>
  <c r="F101" i="8"/>
  <c r="E101" i="8"/>
  <c r="D101" i="8"/>
  <c r="C101" i="8"/>
  <c r="B101" i="8"/>
  <c r="P91" i="8"/>
  <c r="O91" i="8"/>
  <c r="N91" i="8"/>
  <c r="M91" i="8"/>
  <c r="L91" i="8"/>
  <c r="K91" i="8"/>
  <c r="J91" i="8"/>
  <c r="I91" i="8"/>
  <c r="H91" i="8"/>
  <c r="G91" i="8"/>
  <c r="F91" i="8"/>
  <c r="E91" i="8"/>
  <c r="D91" i="8"/>
  <c r="C91" i="8"/>
  <c r="B91" i="8"/>
  <c r="P81" i="8"/>
  <c r="O81" i="8"/>
  <c r="N81" i="8"/>
  <c r="M81" i="8"/>
  <c r="L81" i="8"/>
  <c r="K81" i="8"/>
  <c r="J81" i="8"/>
  <c r="I81" i="8"/>
  <c r="H81" i="8"/>
  <c r="G81" i="8"/>
  <c r="F81" i="8"/>
  <c r="E81" i="8"/>
  <c r="D81" i="8"/>
  <c r="C81" i="8"/>
  <c r="B81" i="8"/>
  <c r="P71" i="8"/>
  <c r="O71" i="8"/>
  <c r="N71" i="8"/>
  <c r="M71" i="8"/>
  <c r="L71" i="8"/>
  <c r="K71" i="8"/>
  <c r="J71" i="8"/>
  <c r="I71" i="8"/>
  <c r="H71" i="8"/>
  <c r="G71" i="8"/>
  <c r="F71" i="8"/>
  <c r="E71" i="8"/>
  <c r="D71" i="8"/>
  <c r="C71" i="8"/>
  <c r="B71" i="8"/>
  <c r="P61" i="8"/>
  <c r="O61" i="8"/>
  <c r="N61" i="8"/>
  <c r="M61" i="8"/>
  <c r="L61" i="8"/>
  <c r="K61" i="8"/>
  <c r="J61" i="8"/>
  <c r="I61" i="8"/>
  <c r="H61" i="8"/>
  <c r="G61" i="8"/>
  <c r="F61" i="8"/>
  <c r="E61" i="8"/>
  <c r="D61" i="8"/>
  <c r="C61" i="8"/>
  <c r="B6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B51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A52" i="8"/>
  <c r="A51" i="8"/>
  <c r="C61" i="6"/>
  <c r="D61" i="6"/>
  <c r="E61" i="6"/>
  <c r="F61" i="6"/>
  <c r="G61" i="6"/>
  <c r="H61" i="6"/>
  <c r="I61" i="6"/>
  <c r="J61" i="6"/>
  <c r="K61" i="6"/>
  <c r="L61" i="6"/>
  <c r="M61" i="6"/>
  <c r="N61" i="6"/>
  <c r="O61" i="6"/>
  <c r="P61" i="6"/>
  <c r="B61" i="6"/>
  <c r="A63" i="6"/>
  <c r="B63" i="6"/>
  <c r="C63" i="6"/>
  <c r="D63" i="6"/>
  <c r="E63" i="6"/>
  <c r="F63" i="6"/>
  <c r="G63" i="6"/>
  <c r="H63" i="6"/>
  <c r="I63" i="6"/>
  <c r="J63" i="6"/>
  <c r="K63" i="6"/>
  <c r="L63" i="6"/>
  <c r="M63" i="6"/>
  <c r="N63" i="6"/>
  <c r="O63" i="6"/>
  <c r="P63" i="6"/>
  <c r="B62" i="6"/>
  <c r="C62" i="6"/>
  <c r="D62" i="6"/>
  <c r="E62" i="6"/>
  <c r="F62" i="6"/>
  <c r="G62" i="6"/>
  <c r="H62" i="6"/>
  <c r="I62" i="6"/>
  <c r="J62" i="6"/>
  <c r="K62" i="6"/>
  <c r="L62" i="6"/>
  <c r="M62" i="6"/>
  <c r="N62" i="6"/>
  <c r="O62" i="6"/>
  <c r="P62" i="6"/>
  <c r="A62" i="6"/>
  <c r="A61" i="6"/>
  <c r="B52" i="6"/>
  <c r="C52" i="6"/>
  <c r="D52" i="6"/>
  <c r="E52" i="6"/>
  <c r="F52" i="6"/>
  <c r="G52" i="6"/>
  <c r="H52" i="6"/>
  <c r="I52" i="6"/>
  <c r="J52" i="6"/>
  <c r="K52" i="6"/>
  <c r="L52" i="6"/>
  <c r="M52" i="6"/>
  <c r="N52" i="6"/>
  <c r="O52" i="6"/>
  <c r="P52" i="6"/>
  <c r="B53" i="6"/>
  <c r="C53" i="6"/>
  <c r="D53" i="6"/>
  <c r="E53" i="6"/>
  <c r="F53" i="6"/>
  <c r="G53" i="6"/>
  <c r="H53" i="6"/>
  <c r="I53" i="6"/>
  <c r="J53" i="6"/>
  <c r="K53" i="6"/>
  <c r="L53" i="6"/>
  <c r="M53" i="6"/>
  <c r="N53" i="6"/>
  <c r="O53" i="6"/>
  <c r="P53" i="6"/>
  <c r="C51" i="6"/>
  <c r="D51" i="6"/>
  <c r="E51" i="6"/>
  <c r="F51" i="6"/>
  <c r="G51" i="6"/>
  <c r="H51" i="6"/>
  <c r="I51" i="6"/>
  <c r="J51" i="6"/>
  <c r="K51" i="6"/>
  <c r="L51" i="6"/>
  <c r="M51" i="6"/>
  <c r="N51" i="6"/>
  <c r="O51" i="6"/>
  <c r="P51" i="6"/>
  <c r="B51" i="6"/>
  <c r="A53" i="6"/>
  <c r="A52" i="6"/>
  <c r="A51" i="6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B61" i="4"/>
  <c r="B62" i="4"/>
  <c r="C62" i="4"/>
  <c r="D62" i="4"/>
  <c r="E62" i="4"/>
  <c r="F62" i="4"/>
  <c r="G62" i="4"/>
  <c r="H62" i="4"/>
  <c r="I62" i="4"/>
  <c r="J62" i="4"/>
  <c r="K62" i="4"/>
  <c r="L62" i="4"/>
  <c r="M62" i="4"/>
  <c r="N62" i="4"/>
  <c r="O62" i="4"/>
  <c r="P62" i="4"/>
  <c r="B63" i="4"/>
  <c r="C63" i="4"/>
  <c r="D63" i="4"/>
  <c r="E63" i="4"/>
  <c r="F63" i="4"/>
  <c r="G63" i="4"/>
  <c r="H63" i="4"/>
  <c r="I63" i="4"/>
  <c r="J63" i="4"/>
  <c r="K63" i="4"/>
  <c r="L63" i="4"/>
  <c r="M63" i="4"/>
  <c r="N63" i="4"/>
  <c r="O63" i="4"/>
  <c r="P63" i="4"/>
  <c r="A63" i="4"/>
  <c r="A62" i="4"/>
  <c r="A6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A53" i="4"/>
  <c r="A52" i="4"/>
  <c r="A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B51" i="4"/>
  <c r="A33" i="10"/>
  <c r="A34" i="10"/>
  <c r="A32" i="10"/>
  <c r="A23" i="10"/>
  <c r="A24" i="10"/>
  <c r="A22" i="10"/>
  <c r="A13" i="10"/>
  <c r="A14" i="10"/>
  <c r="A12" i="10"/>
  <c r="A2" i="10"/>
  <c r="A33" i="8"/>
  <c r="A34" i="8"/>
  <c r="A32" i="8"/>
  <c r="A23" i="8"/>
  <c r="A24" i="8"/>
  <c r="A22" i="8"/>
  <c r="A13" i="8"/>
  <c r="A14" i="8"/>
  <c r="A12" i="8"/>
  <c r="A2" i="8"/>
  <c r="A33" i="6"/>
  <c r="A34" i="6"/>
  <c r="A32" i="6"/>
  <c r="A23" i="6"/>
  <c r="A24" i="6"/>
  <c r="A22" i="6"/>
  <c r="A13" i="6"/>
  <c r="A14" i="6"/>
  <c r="A12" i="6"/>
  <c r="A33" i="4"/>
  <c r="A34" i="4"/>
  <c r="A32" i="4"/>
  <c r="A13" i="4"/>
  <c r="A14" i="4"/>
  <c r="A12" i="4"/>
  <c r="F47" i="10"/>
  <c r="E47" i="10"/>
  <c r="D47" i="10"/>
  <c r="C47" i="10"/>
  <c r="B47" i="10"/>
  <c r="A47" i="10"/>
  <c r="F46" i="10"/>
  <c r="E46" i="10"/>
  <c r="D46" i="10"/>
  <c r="C46" i="10"/>
  <c r="B46" i="10"/>
  <c r="A46" i="10"/>
  <c r="F45" i="10"/>
  <c r="E45" i="10"/>
  <c r="D45" i="10"/>
  <c r="C45" i="10"/>
  <c r="B45" i="10"/>
  <c r="A45" i="10"/>
  <c r="F44" i="10"/>
  <c r="E44" i="10"/>
  <c r="D44" i="10"/>
  <c r="C44" i="10"/>
  <c r="B44" i="10"/>
  <c r="A44" i="10"/>
  <c r="F43" i="10"/>
  <c r="E43" i="10"/>
  <c r="D43" i="10"/>
  <c r="C43" i="10"/>
  <c r="B43" i="10"/>
  <c r="A43" i="10"/>
  <c r="F42" i="10"/>
  <c r="E42" i="10"/>
  <c r="D42" i="10"/>
  <c r="C42" i="10"/>
  <c r="B42" i="10"/>
  <c r="A42" i="10"/>
  <c r="F41" i="10"/>
  <c r="E41" i="10"/>
  <c r="D41" i="10"/>
  <c r="C41" i="10"/>
  <c r="B4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B3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B21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B14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P11" i="10"/>
  <c r="O11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A7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A6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A5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P3" i="10"/>
  <c r="O3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A3" i="10"/>
  <c r="P2" i="10"/>
  <c r="O2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P1" i="10"/>
  <c r="O1" i="10"/>
  <c r="N1" i="10"/>
  <c r="M1" i="10"/>
  <c r="L1" i="10"/>
  <c r="K1" i="10"/>
  <c r="J1" i="10"/>
  <c r="I1" i="10"/>
  <c r="H1" i="10"/>
  <c r="G1" i="10"/>
  <c r="F1" i="10"/>
  <c r="E1" i="10"/>
  <c r="D1" i="10"/>
  <c r="C1" i="10"/>
  <c r="B1" i="10"/>
  <c r="F47" i="8"/>
  <c r="E47" i="8"/>
  <c r="D47" i="8"/>
  <c r="C47" i="8"/>
  <c r="B47" i="8"/>
  <c r="A47" i="8"/>
  <c r="F46" i="8"/>
  <c r="E46" i="8"/>
  <c r="D46" i="8"/>
  <c r="C46" i="8"/>
  <c r="B46" i="8"/>
  <c r="A46" i="8"/>
  <c r="F45" i="8"/>
  <c r="E45" i="8"/>
  <c r="D45" i="8"/>
  <c r="C45" i="8"/>
  <c r="B45" i="8"/>
  <c r="A45" i="8"/>
  <c r="F44" i="8"/>
  <c r="E44" i="8"/>
  <c r="D44" i="8"/>
  <c r="C44" i="8"/>
  <c r="B44" i="8"/>
  <c r="A44" i="8"/>
  <c r="F43" i="8"/>
  <c r="E43" i="8"/>
  <c r="D43" i="8"/>
  <c r="C43" i="8"/>
  <c r="B43" i="8"/>
  <c r="A43" i="8"/>
  <c r="F42" i="8"/>
  <c r="E42" i="8"/>
  <c r="D42" i="8"/>
  <c r="C42" i="8"/>
  <c r="B42" i="8"/>
  <c r="A42" i="8"/>
  <c r="F41" i="8"/>
  <c r="E41" i="8"/>
  <c r="D41" i="8"/>
  <c r="C41" i="8"/>
  <c r="B41" i="8"/>
  <c r="P34" i="8"/>
  <c r="O34" i="8"/>
  <c r="N34" i="8"/>
  <c r="M34" i="8"/>
  <c r="L34" i="8"/>
  <c r="K34" i="8"/>
  <c r="J34" i="8"/>
  <c r="I34" i="8"/>
  <c r="H34" i="8"/>
  <c r="G34" i="8"/>
  <c r="F34" i="8"/>
  <c r="E34" i="8"/>
  <c r="D34" i="8"/>
  <c r="C34" i="8"/>
  <c r="B34" i="8"/>
  <c r="P33" i="8"/>
  <c r="O33" i="8"/>
  <c r="N33" i="8"/>
  <c r="M33" i="8"/>
  <c r="L33" i="8"/>
  <c r="K33" i="8"/>
  <c r="J33" i="8"/>
  <c r="I33" i="8"/>
  <c r="H33" i="8"/>
  <c r="G33" i="8"/>
  <c r="F33" i="8"/>
  <c r="E33" i="8"/>
  <c r="D33" i="8"/>
  <c r="C33" i="8"/>
  <c r="B33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B32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B31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B24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B23" i="8"/>
  <c r="P22" i="8"/>
  <c r="O22" i="8"/>
  <c r="N22" i="8"/>
  <c r="M22" i="8"/>
  <c r="L22" i="8"/>
  <c r="K22" i="8"/>
  <c r="J22" i="8"/>
  <c r="I22" i="8"/>
  <c r="H22" i="8"/>
  <c r="G22" i="8"/>
  <c r="F22" i="8"/>
  <c r="E22" i="8"/>
  <c r="D22" i="8"/>
  <c r="C22" i="8"/>
  <c r="B22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B21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B14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B13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B12" i="8"/>
  <c r="P11" i="8"/>
  <c r="O11" i="8"/>
  <c r="N11" i="8"/>
  <c r="M11" i="8"/>
  <c r="L11" i="8"/>
  <c r="K11" i="8"/>
  <c r="J11" i="8"/>
  <c r="I11" i="8"/>
  <c r="H11" i="8"/>
  <c r="G11" i="8"/>
  <c r="F11" i="8"/>
  <c r="E11" i="8"/>
  <c r="D11" i="8"/>
  <c r="C11" i="8"/>
  <c r="B11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B7" i="8"/>
  <c r="A7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B6" i="8"/>
  <c r="A6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B5" i="8"/>
  <c r="A5" i="8"/>
  <c r="P4" i="8"/>
  <c r="O4" i="8"/>
  <c r="N4" i="8"/>
  <c r="M4" i="8"/>
  <c r="L4" i="8"/>
  <c r="K4" i="8"/>
  <c r="J4" i="8"/>
  <c r="I4" i="8"/>
  <c r="H4" i="8"/>
  <c r="G4" i="8"/>
  <c r="F4" i="8"/>
  <c r="E4" i="8"/>
  <c r="D4" i="8"/>
  <c r="C4" i="8"/>
  <c r="B4" i="8"/>
  <c r="A4" i="8"/>
  <c r="P3" i="8"/>
  <c r="O3" i="8"/>
  <c r="N3" i="8"/>
  <c r="M3" i="8"/>
  <c r="L3" i="8"/>
  <c r="K3" i="8"/>
  <c r="J3" i="8"/>
  <c r="I3" i="8"/>
  <c r="H3" i="8"/>
  <c r="G3" i="8"/>
  <c r="F3" i="8"/>
  <c r="E3" i="8"/>
  <c r="D3" i="8"/>
  <c r="C3" i="8"/>
  <c r="B3" i="8"/>
  <c r="A3" i="8"/>
  <c r="P2" i="8"/>
  <c r="O2" i="8"/>
  <c r="N2" i="8"/>
  <c r="M2" i="8"/>
  <c r="L2" i="8"/>
  <c r="K2" i="8"/>
  <c r="J2" i="8"/>
  <c r="I2" i="8"/>
  <c r="H2" i="8"/>
  <c r="G2" i="8"/>
  <c r="F2" i="8"/>
  <c r="E2" i="8"/>
  <c r="D2" i="8"/>
  <c r="C2" i="8"/>
  <c r="B2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F47" i="6"/>
  <c r="E47" i="6"/>
  <c r="D47" i="6"/>
  <c r="C47" i="6"/>
  <c r="B47" i="6"/>
  <c r="A47" i="6"/>
  <c r="F46" i="6"/>
  <c r="E46" i="6"/>
  <c r="D46" i="6"/>
  <c r="C46" i="6"/>
  <c r="B46" i="6"/>
  <c r="A46" i="6"/>
  <c r="F45" i="6"/>
  <c r="E45" i="6"/>
  <c r="D45" i="6"/>
  <c r="C45" i="6"/>
  <c r="B45" i="6"/>
  <c r="A45" i="6"/>
  <c r="F44" i="6"/>
  <c r="E44" i="6"/>
  <c r="D44" i="6"/>
  <c r="C44" i="6"/>
  <c r="B44" i="6"/>
  <c r="A44" i="6"/>
  <c r="F43" i="6"/>
  <c r="E43" i="6"/>
  <c r="D43" i="6"/>
  <c r="C43" i="6"/>
  <c r="B43" i="6"/>
  <c r="A43" i="6"/>
  <c r="F42" i="6"/>
  <c r="E42" i="6"/>
  <c r="D42" i="6"/>
  <c r="C42" i="6"/>
  <c r="B42" i="6"/>
  <c r="A42" i="6"/>
  <c r="F41" i="6"/>
  <c r="E41" i="6"/>
  <c r="D41" i="6"/>
  <c r="C41" i="6"/>
  <c r="B4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P13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B13" i="6"/>
  <c r="P12" i="6"/>
  <c r="O12" i="6"/>
  <c r="N12" i="6"/>
  <c r="M12" i="6"/>
  <c r="L12" i="6"/>
  <c r="K12" i="6"/>
  <c r="J12" i="6"/>
  <c r="I12" i="6"/>
  <c r="H12" i="6"/>
  <c r="G12" i="6"/>
  <c r="F12" i="6"/>
  <c r="E12" i="6"/>
  <c r="D12" i="6"/>
  <c r="C12" i="6"/>
  <c r="B12" i="6"/>
  <c r="P11" i="6"/>
  <c r="O11" i="6"/>
  <c r="N11" i="6"/>
  <c r="M11" i="6"/>
  <c r="L11" i="6"/>
  <c r="K11" i="6"/>
  <c r="J11" i="6"/>
  <c r="I11" i="6"/>
  <c r="H11" i="6"/>
  <c r="G11" i="6"/>
  <c r="F11" i="6"/>
  <c r="E11" i="6"/>
  <c r="D11" i="6"/>
  <c r="C11" i="6"/>
  <c r="B11" i="6"/>
  <c r="P7" i="6"/>
  <c r="O7" i="6"/>
  <c r="N7" i="6"/>
  <c r="M7" i="6"/>
  <c r="L7" i="6"/>
  <c r="K7" i="6"/>
  <c r="J7" i="6"/>
  <c r="I7" i="6"/>
  <c r="H7" i="6"/>
  <c r="G7" i="6"/>
  <c r="F7" i="6"/>
  <c r="E7" i="6"/>
  <c r="D7" i="6"/>
  <c r="C7" i="6"/>
  <c r="B7" i="6"/>
  <c r="A7" i="6"/>
  <c r="P6" i="6"/>
  <c r="O6" i="6"/>
  <c r="N6" i="6"/>
  <c r="M6" i="6"/>
  <c r="L6" i="6"/>
  <c r="K6" i="6"/>
  <c r="J6" i="6"/>
  <c r="I6" i="6"/>
  <c r="H6" i="6"/>
  <c r="G6" i="6"/>
  <c r="F6" i="6"/>
  <c r="E6" i="6"/>
  <c r="D6" i="6"/>
  <c r="C6" i="6"/>
  <c r="B6" i="6"/>
  <c r="A6" i="6"/>
  <c r="P5" i="6"/>
  <c r="O5" i="6"/>
  <c r="N5" i="6"/>
  <c r="M5" i="6"/>
  <c r="L5" i="6"/>
  <c r="K5" i="6"/>
  <c r="J5" i="6"/>
  <c r="I5" i="6"/>
  <c r="H5" i="6"/>
  <c r="G5" i="6"/>
  <c r="F5" i="6"/>
  <c r="E5" i="6"/>
  <c r="D5" i="6"/>
  <c r="C5" i="6"/>
  <c r="B5" i="6"/>
  <c r="A5" i="6"/>
  <c r="P4" i="6"/>
  <c r="O4" i="6"/>
  <c r="N4" i="6"/>
  <c r="M4" i="6"/>
  <c r="L4" i="6"/>
  <c r="K4" i="6"/>
  <c r="J4" i="6"/>
  <c r="I4" i="6"/>
  <c r="H4" i="6"/>
  <c r="G4" i="6"/>
  <c r="F4" i="6"/>
  <c r="E4" i="6"/>
  <c r="D4" i="6"/>
  <c r="C4" i="6"/>
  <c r="B4" i="6"/>
  <c r="A4" i="6"/>
  <c r="P3" i="6"/>
  <c r="O3" i="6"/>
  <c r="N3" i="6"/>
  <c r="M3" i="6"/>
  <c r="L3" i="6"/>
  <c r="K3" i="6"/>
  <c r="J3" i="6"/>
  <c r="I3" i="6"/>
  <c r="H3" i="6"/>
  <c r="G3" i="6"/>
  <c r="F3" i="6"/>
  <c r="E3" i="6"/>
  <c r="D3" i="6"/>
  <c r="C3" i="6"/>
  <c r="B3" i="6"/>
  <c r="A3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2" i="6"/>
  <c r="P1" i="6"/>
  <c r="O1" i="6"/>
  <c r="N1" i="6"/>
  <c r="M1" i="6"/>
  <c r="L1" i="6"/>
  <c r="K1" i="6"/>
  <c r="J1" i="6"/>
  <c r="I1" i="6"/>
  <c r="H1" i="6"/>
  <c r="G1" i="6"/>
  <c r="F1" i="6"/>
  <c r="E1" i="6"/>
  <c r="D1" i="6"/>
  <c r="C1" i="6"/>
  <c r="B1" i="6"/>
  <c r="F47" i="4"/>
  <c r="E47" i="4"/>
  <c r="D47" i="4"/>
  <c r="C47" i="4"/>
  <c r="B47" i="4"/>
  <c r="A47" i="4"/>
  <c r="F46" i="4"/>
  <c r="E46" i="4"/>
  <c r="D46" i="4"/>
  <c r="C46" i="4"/>
  <c r="B46" i="4"/>
  <c r="A46" i="4"/>
  <c r="F45" i="4"/>
  <c r="E45" i="4"/>
  <c r="D45" i="4"/>
  <c r="C45" i="4"/>
  <c r="B45" i="4"/>
  <c r="A45" i="4"/>
  <c r="F44" i="4"/>
  <c r="E44" i="4"/>
  <c r="D44" i="4"/>
  <c r="C44" i="4"/>
  <c r="B44" i="4"/>
  <c r="A44" i="4"/>
  <c r="F43" i="4"/>
  <c r="E43" i="4"/>
  <c r="D43" i="4"/>
  <c r="C43" i="4"/>
  <c r="B43" i="4"/>
  <c r="A43" i="4"/>
  <c r="F42" i="4"/>
  <c r="E42" i="4"/>
  <c r="D42" i="4"/>
  <c r="C42" i="4"/>
  <c r="B42" i="4"/>
  <c r="A42" i="4"/>
  <c r="F41" i="4"/>
  <c r="E41" i="4"/>
  <c r="D41" i="4"/>
  <c r="C41" i="4"/>
  <c r="B4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21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7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A6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5" i="4"/>
  <c r="A5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4" i="4"/>
  <c r="A4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3" i="4"/>
  <c r="A3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A2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  <c r="B42" i="3"/>
  <c r="C42" i="3"/>
  <c r="D42" i="3"/>
  <c r="E42" i="3"/>
  <c r="F42" i="3"/>
  <c r="B43" i="3"/>
  <c r="C43" i="3"/>
  <c r="D43" i="3"/>
  <c r="E43" i="3"/>
  <c r="F43" i="3"/>
  <c r="B44" i="3"/>
  <c r="C44" i="3"/>
  <c r="D44" i="3"/>
  <c r="E44" i="3"/>
  <c r="F44" i="3"/>
  <c r="B45" i="3"/>
  <c r="C45" i="3"/>
  <c r="D45" i="3"/>
  <c r="E45" i="3"/>
  <c r="F45" i="3"/>
  <c r="B46" i="3"/>
  <c r="C46" i="3"/>
  <c r="D46" i="3"/>
  <c r="E46" i="3"/>
  <c r="F46" i="3"/>
  <c r="B47" i="3"/>
  <c r="C47" i="3"/>
  <c r="D47" i="3"/>
  <c r="E47" i="3"/>
  <c r="F47" i="3"/>
  <c r="A47" i="3"/>
  <c r="A46" i="3"/>
  <c r="A45" i="3"/>
  <c r="A44" i="3"/>
  <c r="A43" i="3"/>
  <c r="A42" i="3"/>
  <c r="C41" i="3"/>
  <c r="D41" i="3"/>
  <c r="E41" i="3"/>
  <c r="F41" i="3"/>
  <c r="B41" i="3"/>
  <c r="C32" i="3"/>
  <c r="D32" i="3"/>
  <c r="E32" i="3"/>
  <c r="F32" i="3"/>
  <c r="G32" i="3"/>
  <c r="H32" i="3"/>
  <c r="I32" i="3"/>
  <c r="J32" i="3"/>
  <c r="K32" i="3"/>
  <c r="L32" i="3"/>
  <c r="M32" i="3"/>
  <c r="N32" i="3"/>
  <c r="O32" i="3"/>
  <c r="P32" i="3"/>
  <c r="C33" i="3"/>
  <c r="D33" i="3"/>
  <c r="E33" i="3"/>
  <c r="F33" i="3"/>
  <c r="G33" i="3"/>
  <c r="H33" i="3"/>
  <c r="I33" i="3"/>
  <c r="J33" i="3"/>
  <c r="K33" i="3"/>
  <c r="L33" i="3"/>
  <c r="M33" i="3"/>
  <c r="N33" i="3"/>
  <c r="O33" i="3"/>
  <c r="P33" i="3"/>
  <c r="C34" i="3"/>
  <c r="D34" i="3"/>
  <c r="E34" i="3"/>
  <c r="F34" i="3"/>
  <c r="G34" i="3"/>
  <c r="H34" i="3"/>
  <c r="I34" i="3"/>
  <c r="J34" i="3"/>
  <c r="K34" i="3"/>
  <c r="L34" i="3"/>
  <c r="M34" i="3"/>
  <c r="N34" i="3"/>
  <c r="O34" i="3"/>
  <c r="P34" i="3"/>
  <c r="B33" i="3"/>
  <c r="B34" i="3"/>
  <c r="B32" i="3"/>
  <c r="A33" i="3"/>
  <c r="A34" i="3"/>
  <c r="A32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B31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C23" i="3"/>
  <c r="D23" i="3"/>
  <c r="E23" i="3"/>
  <c r="F23" i="3"/>
  <c r="G23" i="3"/>
  <c r="H23" i="3"/>
  <c r="I23" i="3"/>
  <c r="J23" i="3"/>
  <c r="K23" i="3"/>
  <c r="L23" i="3"/>
  <c r="M23" i="3"/>
  <c r="N23" i="3"/>
  <c r="O23" i="3"/>
  <c r="P23" i="3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B23" i="3"/>
  <c r="B24" i="3"/>
  <c r="B22" i="3"/>
  <c r="A23" i="3"/>
  <c r="A24" i="3"/>
  <c r="A22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B21" i="3"/>
  <c r="A13" i="3"/>
  <c r="B13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A14" i="3"/>
  <c r="B14" i="3"/>
  <c r="C14" i="3"/>
  <c r="D14" i="3"/>
  <c r="E14" i="3"/>
  <c r="F14" i="3"/>
  <c r="G14" i="3"/>
  <c r="H14" i="3"/>
  <c r="I14" i="3"/>
  <c r="J14" i="3"/>
  <c r="K14" i="3"/>
  <c r="L14" i="3"/>
  <c r="M14" i="3"/>
  <c r="N14" i="3"/>
  <c r="O14" i="3"/>
  <c r="P14" i="3"/>
  <c r="C12" i="3"/>
  <c r="D12" i="3"/>
  <c r="E12" i="3"/>
  <c r="F12" i="3"/>
  <c r="G12" i="3"/>
  <c r="H12" i="3"/>
  <c r="I12" i="3"/>
  <c r="J12" i="3"/>
  <c r="K12" i="3"/>
  <c r="L12" i="3"/>
  <c r="M12" i="3"/>
  <c r="N12" i="3"/>
  <c r="O12" i="3"/>
  <c r="P12" i="3"/>
  <c r="B12" i="3"/>
  <c r="A12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B11" i="3"/>
  <c r="B2" i="3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B3" i="3"/>
  <c r="C3" i="3"/>
  <c r="D3" i="3"/>
  <c r="E3" i="3"/>
  <c r="F3" i="3"/>
  <c r="G3" i="3"/>
  <c r="H3" i="3"/>
  <c r="I3" i="3"/>
  <c r="J3" i="3"/>
  <c r="K3" i="3"/>
  <c r="L3" i="3"/>
  <c r="M3" i="3"/>
  <c r="N3" i="3"/>
  <c r="O3" i="3"/>
  <c r="P3" i="3"/>
  <c r="B4" i="3"/>
  <c r="C4" i="3"/>
  <c r="D4" i="3"/>
  <c r="E4" i="3"/>
  <c r="F4" i="3"/>
  <c r="G4" i="3"/>
  <c r="H4" i="3"/>
  <c r="I4" i="3"/>
  <c r="J4" i="3"/>
  <c r="K4" i="3"/>
  <c r="L4" i="3"/>
  <c r="M4" i="3"/>
  <c r="N4" i="3"/>
  <c r="O4" i="3"/>
  <c r="P4" i="3"/>
  <c r="B5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B6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B7" i="3"/>
  <c r="C7" i="3"/>
  <c r="D7" i="3"/>
  <c r="E7" i="3"/>
  <c r="F7" i="3"/>
  <c r="G7" i="3"/>
  <c r="H7" i="3"/>
  <c r="I7" i="3"/>
  <c r="J7" i="3"/>
  <c r="K7" i="3"/>
  <c r="L7" i="3"/>
  <c r="M7" i="3"/>
  <c r="N7" i="3"/>
  <c r="O7" i="3"/>
  <c r="P7" i="3"/>
  <c r="A7" i="3"/>
  <c r="A6" i="3"/>
  <c r="A5" i="3"/>
  <c r="A3" i="3"/>
  <c r="A4" i="3"/>
  <c r="A2" i="3"/>
  <c r="C1" i="3"/>
  <c r="D1" i="3"/>
  <c r="E1" i="3"/>
  <c r="F1" i="3"/>
  <c r="G1" i="3"/>
  <c r="H1" i="3"/>
  <c r="I1" i="3"/>
  <c r="J1" i="3"/>
  <c r="K1" i="3"/>
  <c r="L1" i="3"/>
  <c r="M1" i="3"/>
  <c r="N1" i="3"/>
  <c r="O1" i="3"/>
  <c r="P1" i="3"/>
  <c r="B1" i="3"/>
</calcChain>
</file>

<file path=xl/sharedStrings.xml><?xml version="1.0" encoding="utf-8"?>
<sst xmlns="http://schemas.openxmlformats.org/spreadsheetml/2006/main" count="745" uniqueCount="128">
  <si>
    <t>Type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</si>
  <si>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</si>
  <si>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</si>
  <si>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</si>
  <si>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</si>
  <si>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</si>
  <si>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</si>
  <si>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</si>
  <si>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</si>
  <si>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</si>
  <si>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</si>
  <si>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</si>
  <si>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</si>
  <si>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JAN'27</t>
  </si>
  <si>
    <t>FEB'27</t>
  </si>
  <si>
    <t>MAR'27</t>
  </si>
  <si>
    <t>Staff</t>
  </si>
  <si>
    <t>Staff AVG</t>
  </si>
  <si>
    <t>Plan</t>
  </si>
  <si>
    <t>PAYROLL</t>
  </si>
  <si>
    <t>CONTRACTOR</t>
  </si>
  <si>
    <t>OUTSOURCE</t>
  </si>
  <si>
    <t>ALL</t>
  </si>
  <si>
    <t>% Plan</t>
  </si>
  <si>
    <t>Available FTE</t>
  </si>
  <si>
    <t>Q1</t>
  </si>
  <si>
    <t>Q2</t>
  </si>
  <si>
    <t>Q3</t>
  </si>
  <si>
    <t>Q4</t>
  </si>
  <si>
    <t>Q1'27</t>
  </si>
  <si>
    <t>Grand Total</t>
  </si>
  <si>
    <t>CPS</t>
  </si>
  <si>
    <t>PSE</t>
  </si>
  <si>
    <t>SD</t>
  </si>
  <si>
    <t>AIC</t>
  </si>
  <si>
    <t>Section</t>
  </si>
  <si>
    <t>Commercial Products &amp; Solutions</t>
  </si>
  <si>
    <t>Business Development &amp; Partnerships</t>
  </si>
  <si>
    <t>Product Commercialization</t>
  </si>
  <si>
    <t>Platform &amp; Software Engineering</t>
  </si>
  <si>
    <t>Platform Engineering</t>
  </si>
  <si>
    <r>
      <t>Platform Engineering:</t>
    </r>
    <r>
      <rPr>
        <b/>
        <i/>
        <sz val="11"/>
        <color rgb="FF7B7B7B"/>
        <rFont val="Calibri"/>
        <family val="2"/>
      </rPr>
      <t>TH</t>
    </r>
  </si>
  <si>
    <t>Platform Engineering:TH</t>
  </si>
  <si>
    <r>
      <t>Platform Engineering:</t>
    </r>
    <r>
      <rPr>
        <b/>
        <i/>
        <sz val="11"/>
        <color rgb="FF7B7B7B"/>
        <rFont val="Calibri"/>
        <family val="2"/>
      </rPr>
      <t>CT</t>
    </r>
  </si>
  <si>
    <t>Platform Engineering:CT</t>
  </si>
  <si>
    <t>Software Engineering</t>
  </si>
  <si>
    <r>
      <t>Software Engineering:</t>
    </r>
    <r>
      <rPr>
        <b/>
        <i/>
        <sz val="11"/>
        <color rgb="FF7B7B7B"/>
        <rFont val="Calibri"/>
        <family val="2"/>
      </rPr>
      <t>TH</t>
    </r>
  </si>
  <si>
    <t>Software Engineering:TH</t>
  </si>
  <si>
    <r>
      <t>Software Engineering:</t>
    </r>
    <r>
      <rPr>
        <b/>
        <i/>
        <sz val="11"/>
        <color rgb="FF7B7B7B"/>
        <rFont val="Calibri"/>
        <family val="2"/>
      </rPr>
      <t>CT</t>
    </r>
  </si>
  <si>
    <t>Software Engineering:CT</t>
  </si>
  <si>
    <r>
      <t>Software Engineering:</t>
    </r>
    <r>
      <rPr>
        <b/>
        <i/>
        <sz val="11"/>
        <color rgb="FF7B7B7B"/>
        <rFont val="Calibri"/>
        <family val="2"/>
      </rPr>
      <t>OS</t>
    </r>
  </si>
  <si>
    <t>Software Engineering:OS</t>
  </si>
  <si>
    <t>Solution Delivery</t>
  </si>
  <si>
    <t>Design</t>
  </si>
  <si>
    <t>Data Technology</t>
  </si>
  <si>
    <r>
      <t>Data Technology:</t>
    </r>
    <r>
      <rPr>
        <b/>
        <i/>
        <sz val="11"/>
        <color rgb="FF7B7B7B"/>
        <rFont val="Calibri"/>
        <family val="2"/>
      </rPr>
      <t>TH</t>
    </r>
  </si>
  <si>
    <t>Data Technology:TH</t>
  </si>
  <si>
    <r>
      <t>Data Technology:</t>
    </r>
    <r>
      <rPr>
        <b/>
        <i/>
        <sz val="11"/>
        <color rgb="FF7B7B7B"/>
        <rFont val="Calibri"/>
        <family val="2"/>
      </rPr>
      <t>CT</t>
    </r>
  </si>
  <si>
    <t>Data Technology:CT</t>
  </si>
  <si>
    <t>Solution Architecture</t>
  </si>
  <si>
    <t>Site Reliability Engineering</t>
  </si>
  <si>
    <t>Cyber Security</t>
  </si>
  <si>
    <t>Project Management</t>
  </si>
  <si>
    <t>Technology Analyst</t>
  </si>
  <si>
    <t>Technology QA</t>
  </si>
  <si>
    <r>
      <t>Technology QA:</t>
    </r>
    <r>
      <rPr>
        <b/>
        <i/>
        <sz val="11"/>
        <color rgb="FF7B7B7B"/>
        <rFont val="Calibri"/>
        <family val="2"/>
      </rPr>
      <t>TH</t>
    </r>
  </si>
  <si>
    <t>Technology QA:TH</t>
  </si>
  <si>
    <r>
      <t>Technology QA:</t>
    </r>
    <r>
      <rPr>
        <b/>
        <i/>
        <sz val="11"/>
        <color rgb="FF7B7B7B"/>
        <rFont val="Calibri"/>
        <family val="2"/>
      </rPr>
      <t>CT</t>
    </r>
  </si>
  <si>
    <t>Technology QA:CT</t>
  </si>
  <si>
    <r>
      <t>Technology QA:</t>
    </r>
    <r>
      <rPr>
        <b/>
        <i/>
        <sz val="11"/>
        <color rgb="FF7B7B7B"/>
        <rFont val="Calibri"/>
        <family val="2"/>
      </rPr>
      <t>OS</t>
    </r>
  </si>
  <si>
    <t>Technology QA:OS</t>
  </si>
  <si>
    <t>Technology Management</t>
  </si>
  <si>
    <t>AI Research &amp; Alliance</t>
  </si>
  <si>
    <t>AIET AI Engineering</t>
  </si>
  <si>
    <t>AIET IoT Engineering</t>
  </si>
  <si>
    <t>AIET Spatial AI Engineering</t>
  </si>
  <si>
    <t>Product Innovation</t>
  </si>
  <si>
    <t>TDE</t>
  </si>
  <si>
    <t>Talent &amp; Digital Enablement</t>
  </si>
  <si>
    <t>Financial Management</t>
  </si>
  <si>
    <t>Resource Management</t>
  </si>
  <si>
    <r>
      <t>Resource Management:</t>
    </r>
    <r>
      <rPr>
        <b/>
        <i/>
        <sz val="11"/>
        <color rgb="FF7B7B7B"/>
        <rFont val="Calibri"/>
        <family val="2"/>
      </rPr>
      <t>TH</t>
    </r>
  </si>
  <si>
    <t>Resource Management:TH</t>
  </si>
  <si>
    <r>
      <t>Resource Management:</t>
    </r>
    <r>
      <rPr>
        <b/>
        <i/>
        <sz val="11"/>
        <color rgb="FF7B7B7B"/>
        <rFont val="Calibri"/>
        <family val="2"/>
      </rPr>
      <t>CT</t>
    </r>
  </si>
  <si>
    <t>Resource Management:CT</t>
  </si>
  <si>
    <t>Talent Experience &amp; Development</t>
  </si>
  <si>
    <r>
      <t>Talent Experience &amp; Development:</t>
    </r>
    <r>
      <rPr>
        <b/>
        <i/>
        <sz val="11"/>
        <color rgb="FF7B7B7B"/>
        <rFont val="Calibri"/>
        <family val="2"/>
      </rPr>
      <t>TH</t>
    </r>
  </si>
  <si>
    <t>Talent Experience &amp; Development:TH</t>
  </si>
  <si>
    <r>
      <t>Talent Experience &amp; Development:</t>
    </r>
    <r>
      <rPr>
        <b/>
        <i/>
        <sz val="11"/>
        <color rgb="FF7B7B7B"/>
        <rFont val="Calibri"/>
        <family val="2"/>
      </rPr>
      <t>CT</t>
    </r>
  </si>
  <si>
    <t>Talent Experience &amp; Development:CT</t>
  </si>
  <si>
    <t>Center of Excellences</t>
  </si>
  <si>
    <t>Group Name</t>
  </si>
  <si>
    <t>IT Dist</t>
  </si>
  <si>
    <t>SCGP e-Ordering</t>
  </si>
  <si>
    <t>CAP (Common AI Platform)</t>
  </si>
  <si>
    <t>PromptPlus</t>
  </si>
  <si>
    <t>WeShape platform</t>
  </si>
  <si>
    <t>Presale</t>
  </si>
  <si>
    <t>Project</t>
  </si>
  <si>
    <t>TM</t>
  </si>
  <si>
    <t>Infra</t>
  </si>
  <si>
    <t>Spatial Lab</t>
  </si>
  <si>
    <t>Warmbody</t>
  </si>
  <si>
    <t>Project by Team</t>
  </si>
  <si>
    <t>Project by Type</t>
  </si>
  <si>
    <t>Total</t>
  </si>
  <si>
    <t>PSE-PE</t>
  </si>
  <si>
    <t>PSE-SE</t>
  </si>
  <si>
    <t>SD-Design</t>
  </si>
  <si>
    <t>SD-Data</t>
  </si>
  <si>
    <t>SD-SA</t>
  </si>
  <si>
    <t>SD-SRE</t>
  </si>
  <si>
    <t>SD-CyberSec</t>
  </si>
  <si>
    <t>SD-PM</t>
  </si>
  <si>
    <t>SD-BA</t>
  </si>
  <si>
    <t>SD-QA</t>
  </si>
  <si>
    <t>SD-TM</t>
  </si>
  <si>
    <t>AIC-AI</t>
  </si>
  <si>
    <t>AIC-AIE</t>
  </si>
  <si>
    <t>AIC-IoT</t>
  </si>
  <si>
    <t>AIC-SAI</t>
  </si>
  <si>
    <t>AIC-PSI</t>
  </si>
  <si>
    <t>Group</t>
  </si>
  <si>
    <t>GINII</t>
  </si>
  <si>
    <t>Industrial Solutions</t>
  </si>
  <si>
    <t>RGUARD</t>
  </si>
  <si>
    <t>SARA</t>
  </si>
  <si>
    <t>WeShape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</si>
</sst>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i/>
      <sz val="11"/>
      <color rgb="FF7030A0"/>
      <name val="Calibri"/>
      <family val="2"/>
    </font>
    <font>
      <sz val="11"/>
      <color rgb="FF7030A0"/>
      <name val="Calibri"/>
      <family val="2"/>
    </font>
    <font>
      <b/>
      <sz val="11"/>
      <color rgb="FFFFFFFF"/>
      <name val="Calibri"/>
      <family val="2"/>
    </font>
    <font>
      <sz val="11"/>
      <color rgb="FFBF8F00"/>
      <name val="Calibri"/>
      <family val="2"/>
    </font>
    <font>
      <sz val="11"/>
      <color rgb="FFDDEBF7"/>
      <name val="Calibri"/>
      <family val="2"/>
    </font>
    <font>
      <i/>
      <sz val="11"/>
      <color rgb="FF7B7B7B"/>
      <name val="Calibri"/>
      <family val="2"/>
    </font>
    <font>
      <b/>
      <i/>
      <sz val="11"/>
      <color rgb="FF7B7B7B"/>
      <name val="Calibri"/>
      <family val="2"/>
    </font>
    <font>
      <i/>
      <sz val="11"/>
      <color rgb="FFEDEDED"/>
      <name val="Calibri"/>
      <family val="2"/>
    </font>
    <font>
      <sz val="11"/>
      <color rgb="FF7B7B7B"/>
      <name val="Calibri"/>
      <family val="2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EDEDED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BF8F00"/>
        <bgColor rgb="FF000000"/>
      </patternFill>
    </fill>
    <fill>
      <patternFill patternType="solid">
        <fgColor rgb="FFC65911"/>
        <bgColor rgb="FF000000"/>
      </patternFill>
    </fill>
    <fill>
      <patternFill patternType="solid">
        <fgColor rgb="FF833C0C"/>
        <bgColor rgb="FF000000"/>
      </patternFill>
    </fill>
    <fill>
      <patternFill patternType="solid">
        <fgColor rgb="FF5B9BD5"/>
        <bgColor rgb="FF5B9BD5"/>
      </patternFill>
    </fill>
    <fill>
      <patternFill patternType="solid">
        <fgColor rgb="FF5B9BD5"/>
        <bgColor rgb="FF000000"/>
      </patternFill>
    </fill>
    <fill>
      <patternFill patternType="solid">
        <fgColor rgb="FF4472C4"/>
        <bgColor rgb="FF4472C4"/>
      </patternFill>
    </fill>
    <fill>
      <patternFill patternType="solid">
        <fgColor rgb="FFD9D9D9"/>
        <bgColor rgb="FFD9D9D9"/>
      </patternFill>
    </fill>
  </fills>
  <borders count="3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  <xf numFmtId="0" fontId="1" fillId="6" borderId="0" xfId="0" applyFont="1" applyFill="1" applyAlignment="1">
      <alignment horizontal="left"/>
    </xf>
    <xf numFmtId="0" fontId="3" fillId="7" borderId="0" xfId="0" applyFont="1" applyFill="1"/>
    <xf numFmtId="0" fontId="4" fillId="0" borderId="0" xfId="0" applyFont="1"/>
    <xf numFmtId="0" fontId="3" fillId="8" borderId="0" xfId="0" applyFont="1" applyFill="1"/>
    <xf numFmtId="0" fontId="3" fillId="9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5" fillId="10" borderId="0" xfId="0" applyFont="1" applyFill="1"/>
    <xf numFmtId="0" fontId="4" fillId="7" borderId="0" xfId="0" applyFont="1" applyFill="1"/>
    <xf numFmtId="0" fontId="4" fillId="9" borderId="0" xfId="0" applyFont="1" applyFill="1"/>
    <xf numFmtId="0" fontId="1" fillId="0" borderId="0" xfId="0" applyFont="1"/>
    <xf numFmtId="0" fontId="6" fillId="0" borderId="0" xfId="0" applyFont="1" applyAlignment="1">
      <alignment horizontal="right"/>
    </xf>
    <xf numFmtId="10" fontId="7" fillId="0" borderId="0" xfId="0" applyNumberFormat="1" applyFont="1"/>
    <xf numFmtId="0" fontId="7" fillId="0" borderId="0" xfId="0" applyFont="1"/>
    <xf numFmtId="0" fontId="9" fillId="0" borderId="0" xfId="0" applyFont="1"/>
    <xf numFmtId="0" fontId="8" fillId="11" borderId="1" xfId="0" applyFont="1" applyFill="1" applyBorder="1" applyAlignment="1">
      <alignment horizontal="left"/>
    </xf>
    <xf numFmtId="0" fontId="8" fillId="11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8" fillId="13" borderId="0" xfId="0" applyFont="1" applyFill="1" applyAlignment="1">
      <alignment horizontal="left"/>
    </xf>
    <xf numFmtId="0" fontId="9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10" fontId="7" fillId="0" borderId="1" xfId="0" applyNumberFormat="1" applyFont="1" applyBorder="1"/>
    <xf numFmtId="0" fontId="7" fillId="0" borderId="1" xfId="0" applyFont="1" applyBorder="1"/>
    <xf numFmtId="0" fontId="4" fillId="0" borderId="1" xfId="0" applyFont="1" applyBorder="1"/>
    <xf numFmtId="0" fontId="5" fillId="10" borderId="1" xfId="0" applyFont="1" applyFill="1" applyBorder="1"/>
    <xf numFmtId="0" fontId="8" fillId="14" borderId="0" xfId="0" applyFont="1" applyFill="1"/>
    <xf numFmtId="0" fontId="4" fillId="15" borderId="0" xfId="0" applyFont="1" applyFill="1"/>
    <xf numFmtId="0" fontId="4" fillId="8" borderId="0" xfId="0" applyFont="1" applyFill="1"/>
    <xf numFmtId="0" fontId="8" fillId="8" borderId="0" xfId="0" applyFont="1" applyFill="1"/>
    <xf numFmtId="0" fontId="3" fillId="3" borderId="0" xfId="0" applyFont="1" applyFill="1"/>
    <xf numFmtId="0" fontId="4" fillId="3" borderId="0" xfId="0" applyFont="1" applyFill="1"/>
    <xf numFmtId="0" fontId="10" fillId="7" borderId="0" xfId="0" applyFont="1" applyFill="1"/>
    <xf numFmtId="0" fontId="1" fillId="9" borderId="0" xfId="0" applyFont="1" applyFill="1" applyAlignment="1">
      <alignment horizontal="left"/>
    </xf>
    <xf numFmtId="0" fontId="11" fillId="0" borderId="0" xfId="0" applyFont="1"/>
    <xf numFmtId="0" fontId="11" fillId="2" borderId="0" xfId="0" applyFont="1" applyFill="1" applyAlignment="1">
      <alignment horizontal="left" indent="2"/>
    </xf>
    <xf numFmtId="0" fontId="11" fillId="2" borderId="0" xfId="0" applyFont="1" applyFill="1"/>
    <xf numFmtId="0" fontId="13" fillId="2" borderId="0" xfId="0" applyFont="1" applyFill="1" applyAlignment="1">
      <alignment horizontal="left" indent="2"/>
    </xf>
    <xf numFmtId="0" fontId="11" fillId="9" borderId="0" xfId="0" applyFont="1" applyFill="1"/>
    <xf numFmtId="0" fontId="2" fillId="8" borderId="0" xfId="0" applyFont="1" applyFill="1"/>
    <xf numFmtId="0" fontId="2" fillId="3" borderId="0" xfId="0" applyFont="1" applyFill="1"/>
    <xf numFmtId="0" fontId="1" fillId="3" borderId="0" xfId="0" applyFont="1" applyFill="1"/>
    <xf numFmtId="0" fontId="4" fillId="7" borderId="2" xfId="0" applyFont="1" applyFill="1" applyBorder="1"/>
    <xf numFmtId="0" fontId="3" fillId="7" borderId="2" xfId="0" applyFont="1" applyFill="1" applyBorder="1"/>
    <xf numFmtId="0" fontId="14" fillId="2" borderId="0" xfId="0" applyFont="1" applyFill="1"/>
    <xf numFmtId="0" fontId="14" fillId="0" borderId="0" xfId="0" applyFont="1"/>
    <xf numFmtId="0" fontId="8" fillId="16" borderId="0" xfId="0" applyFont="1" applyFill="1"/>
    <xf numFmtId="0" fontId="4" fillId="0" borderId="0" xfId="0" applyFont="1" applyAlignment="1"/>
    <xf numFmtId="0" fontId="8" fillId="0" borderId="0" xfId="0" applyFont="1" applyFill="1"/>
    <xf numFmtId="0" fontId="0" fillId="0" borderId="0" xfId="0" applyFill="1"/>
    <xf numFmtId="0" fontId="4" fillId="0" borderId="0" xfId="0" applyFont="1" applyFill="1"/>
    <xf numFmtId="0" fontId="4" fillId="0" borderId="0" xfId="0" applyFont="1" applyFill="1" applyAlignment="1"/>
    <xf numFmtId="0" fontId="1" fillId="17" borderId="0" xfId="0" applyFont="1" applyFill="1"/>
    <xf numFmtId="4" fontId="4" fillId="0" borderId="0" xfId="0" applyNumberFormat="1" applyFont="1"/>
    <xf numFmtId="0" fontId="15" fillId="0" borderId="0" xfId="0" applyFont="1"/>
    <xf numFmtId="10" fontId="0" fillId="0" borderId="0" xfId="0" applyNumberForma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C9BC8-0901-2D49-9889-BA2630F40C73}">
  <sheetPr>
    <tabColor theme="4"/>
  </sheetPr>
  <dimension ref="A1:Q49"/>
  <sheetViews>
    <sheetView topLeftCell="A41" workbookViewId="0">
      <selection activeCell="C3" sqref="C3:Q3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22</v>
      </c>
      <c r="B2" s="7" t="s">
        <v>16</v>
      </c>
      <c r="C2" s="8">
        <v>148</v>
      </c>
      <c r="D2" s="8">
        <v>149</v>
      </c>
      <c r="E2" s="8">
        <v>149</v>
      </c>
      <c r="F2" s="8">
        <v>151</v>
      </c>
      <c r="G2" s="8">
        <v>150</v>
      </c>
      <c r="H2" s="8">
        <v>150</v>
      </c>
      <c r="I2" s="8">
        <v>149</v>
      </c>
      <c r="J2" s="8">
        <v>149</v>
      </c>
      <c r="K2" s="8">
        <v>149</v>
      </c>
      <c r="L2" s="8">
        <v>149</v>
      </c>
      <c r="M2" s="8">
        <v>149</v>
      </c>
      <c r="N2" s="8">
        <v>149</v>
      </c>
      <c r="O2" s="8">
        <v>149</v>
      </c>
      <c r="P2" s="8">
        <v>149</v>
      </c>
      <c r="Q2" s="8">
        <v>149</v>
      </c>
    </row>
    <row r="3" spans="1:17" x14ac:dyDescent="0.2">
      <c r="A3" s="12" t="s">
        <v>22</v>
      </c>
      <c r="B3" s="9" t="s">
        <v>17</v>
      </c>
      <c r="C3" s="8">
        <v>149</v>
      </c>
      <c r="D3" s="8">
        <v>149</v>
      </c>
      <c r="E3" s="8">
        <v>149</v>
      </c>
      <c r="F3" s="8">
        <v>149</v>
      </c>
      <c r="G3" s="8">
        <v>149</v>
      </c>
      <c r="H3" s="8">
        <v>149</v>
      </c>
      <c r="I3" s="8">
        <v>149</v>
      </c>
      <c r="J3" s="8">
        <v>149</v>
      </c>
      <c r="K3" s="8">
        <v>149</v>
      </c>
      <c r="L3" s="8">
        <v>149</v>
      </c>
      <c r="M3" s="8">
        <v>149</v>
      </c>
      <c r="N3" s="8">
        <v>149</v>
      </c>
      <c r="O3" s="8">
        <v>149</v>
      </c>
      <c r="P3" s="8">
        <v>149</v>
      </c>
      <c r="Q3" s="8">
        <v>149</v>
      </c>
    </row>
    <row r="4" spans="1:17" x14ac:dyDescent="0.2">
      <c r="A4" s="13" t="s">
        <v>22</v>
      </c>
      <c r="B4" s="10" t="s">
        <v>18</v>
      </c>
      <c r="C4" s="8">
        <v>131</v>
      </c>
      <c r="D4" s="8">
        <v>139</v>
      </c>
      <c r="E4" s="8">
        <v>142</v>
      </c>
      <c r="F4" s="8">
        <v>143</v>
      </c>
      <c r="G4" s="8">
        <v>147</v>
      </c>
      <c r="H4" s="8">
        <v>144</v>
      </c>
      <c r="I4" s="8">
        <v>143</v>
      </c>
      <c r="J4" s="8">
        <v>140</v>
      </c>
      <c r="K4" s="8">
        <v>139</v>
      </c>
      <c r="L4" s="8">
        <v>132</v>
      </c>
      <c r="M4" s="8">
        <v>130</v>
      </c>
      <c r="N4" s="8">
        <v>130</v>
      </c>
      <c r="O4" s="8">
        <v>105</v>
      </c>
      <c r="P4" s="8">
        <v>104</v>
      </c>
      <c r="Q4" s="8">
        <v>104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0.88260000000000005</v>
      </c>
      <c r="D6" s="19">
        <v>0.93620000000000003</v>
      </c>
      <c r="E6" s="19">
        <v>0.95589999999999997</v>
      </c>
      <c r="F6" s="19">
        <v>0.94789999999999996</v>
      </c>
      <c r="G6" s="19">
        <v>0.97919999999999996</v>
      </c>
      <c r="H6" s="19">
        <v>0.95830000000000004</v>
      </c>
      <c r="I6" s="19">
        <v>0.95909999999999995</v>
      </c>
      <c r="J6" s="19">
        <v>0.93759999999999999</v>
      </c>
      <c r="K6" s="19">
        <v>0.93179999999999996</v>
      </c>
      <c r="L6" s="19">
        <v>0.88370000000000004</v>
      </c>
      <c r="M6" s="19">
        <v>0.87409999999999999</v>
      </c>
      <c r="N6" s="19">
        <v>0.86939999999999995</v>
      </c>
      <c r="O6" s="19">
        <v>0.70230000000000004</v>
      </c>
      <c r="P6" s="19">
        <v>0.70020000000000004</v>
      </c>
      <c r="Q6" s="19">
        <v>0.70020000000000004</v>
      </c>
    </row>
    <row r="7" spans="1:17" x14ac:dyDescent="0.2">
      <c r="A7" s="17"/>
      <c r="B7" s="18" t="s">
        <v>24</v>
      </c>
      <c r="C7" s="20">
        <v>17</v>
      </c>
      <c r="D7" s="20">
        <v>10</v>
      </c>
      <c r="E7" s="20">
        <v>7</v>
      </c>
      <c r="F7" s="20">
        <v>8</v>
      </c>
      <c r="G7" s="20">
        <v>3</v>
      </c>
      <c r="H7" s="20">
        <v>6</v>
      </c>
      <c r="I7" s="20">
        <v>6</v>
      </c>
      <c r="J7" s="20">
        <v>9</v>
      </c>
      <c r="K7" s="20">
        <v>10</v>
      </c>
      <c r="L7" s="20">
        <v>17</v>
      </c>
      <c r="M7" s="20">
        <v>19</v>
      </c>
      <c r="N7" s="20">
        <v>19</v>
      </c>
      <c r="O7" s="20">
        <v>44</v>
      </c>
      <c r="P7" s="20">
        <v>45</v>
      </c>
      <c r="Q7" s="20">
        <v>45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121</v>
      </c>
      <c r="D9" s="8">
        <v>120</v>
      </c>
      <c r="E9" s="8">
        <v>118</v>
      </c>
      <c r="F9" s="8">
        <v>118</v>
      </c>
      <c r="G9" s="8">
        <v>117</v>
      </c>
      <c r="H9" s="8">
        <v>117</v>
      </c>
      <c r="I9" s="8">
        <v>116</v>
      </c>
      <c r="J9" s="8">
        <v>116</v>
      </c>
      <c r="K9" s="8">
        <v>116</v>
      </c>
      <c r="L9" s="8">
        <v>116</v>
      </c>
      <c r="M9" s="8">
        <v>116</v>
      </c>
      <c r="N9" s="8">
        <v>116</v>
      </c>
      <c r="O9" s="8">
        <v>116</v>
      </c>
      <c r="P9" s="8">
        <v>116</v>
      </c>
      <c r="Q9" s="8">
        <v>116</v>
      </c>
    </row>
    <row r="10" spans="1:17" x14ac:dyDescent="0.2">
      <c r="A10" s="9" t="s">
        <v>17</v>
      </c>
      <c r="B10" s="12" t="s">
        <v>19</v>
      </c>
      <c r="C10" s="8">
        <v>117</v>
      </c>
      <c r="D10" s="8">
        <v>117</v>
      </c>
      <c r="E10" s="8">
        <v>117</v>
      </c>
      <c r="F10" s="8">
        <v>116</v>
      </c>
      <c r="G10" s="8">
        <v>116</v>
      </c>
      <c r="H10" s="8">
        <v>116</v>
      </c>
      <c r="I10" s="8">
        <v>116</v>
      </c>
      <c r="J10" s="8">
        <v>116</v>
      </c>
      <c r="K10" s="8">
        <v>116</v>
      </c>
      <c r="L10" s="8">
        <v>116</v>
      </c>
      <c r="M10" s="8">
        <v>116</v>
      </c>
      <c r="N10" s="8">
        <v>116</v>
      </c>
      <c r="O10" s="8">
        <v>116</v>
      </c>
      <c r="P10" s="8">
        <v>116</v>
      </c>
      <c r="Q10" s="8">
        <v>116</v>
      </c>
    </row>
    <row r="11" spans="1:17" x14ac:dyDescent="0.2">
      <c r="A11" s="16" t="s">
        <v>18</v>
      </c>
      <c r="B11" s="13" t="s">
        <v>19</v>
      </c>
      <c r="C11" s="8">
        <v>105</v>
      </c>
      <c r="D11" s="8">
        <v>111</v>
      </c>
      <c r="E11" s="8">
        <v>111</v>
      </c>
      <c r="F11" s="8">
        <v>112</v>
      </c>
      <c r="G11" s="8">
        <v>113</v>
      </c>
      <c r="H11" s="8">
        <v>111</v>
      </c>
      <c r="I11" s="8">
        <v>108</v>
      </c>
      <c r="J11" s="8">
        <v>105</v>
      </c>
      <c r="K11" s="8">
        <v>103</v>
      </c>
      <c r="L11" s="8">
        <v>100</v>
      </c>
      <c r="M11" s="8">
        <v>99</v>
      </c>
      <c r="N11" s="8">
        <v>98</v>
      </c>
      <c r="O11" s="8">
        <v>81</v>
      </c>
      <c r="P11" s="8">
        <v>81</v>
      </c>
      <c r="Q11" s="8">
        <v>81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21</v>
      </c>
      <c r="D13" s="8">
        <v>21</v>
      </c>
      <c r="E13" s="8">
        <v>21</v>
      </c>
      <c r="F13" s="8">
        <v>21</v>
      </c>
      <c r="G13" s="8">
        <v>21</v>
      </c>
      <c r="H13" s="8">
        <v>21</v>
      </c>
      <c r="I13" s="8">
        <v>21</v>
      </c>
      <c r="J13" s="8">
        <v>21</v>
      </c>
      <c r="K13" s="8">
        <v>21</v>
      </c>
      <c r="L13" s="8">
        <v>21</v>
      </c>
      <c r="M13" s="8">
        <v>21</v>
      </c>
      <c r="N13" s="8">
        <v>21</v>
      </c>
      <c r="O13" s="8">
        <v>21</v>
      </c>
      <c r="P13" s="8">
        <v>21</v>
      </c>
      <c r="Q13" s="8">
        <v>21</v>
      </c>
    </row>
    <row r="14" spans="1:17" x14ac:dyDescent="0.2">
      <c r="A14" s="9" t="s">
        <v>17</v>
      </c>
      <c r="B14" s="12" t="s">
        <v>20</v>
      </c>
      <c r="C14" s="8">
        <v>21</v>
      </c>
      <c r="D14" s="8">
        <v>21</v>
      </c>
      <c r="E14" s="8">
        <v>21</v>
      </c>
      <c r="F14" s="8">
        <v>21</v>
      </c>
      <c r="G14" s="8">
        <v>21</v>
      </c>
      <c r="H14" s="8">
        <v>21</v>
      </c>
      <c r="I14" s="8">
        <v>21</v>
      </c>
      <c r="J14" s="8">
        <v>21</v>
      </c>
      <c r="K14" s="8">
        <v>21</v>
      </c>
      <c r="L14" s="8">
        <v>21</v>
      </c>
      <c r="M14" s="8">
        <v>21</v>
      </c>
      <c r="N14" s="8">
        <v>21</v>
      </c>
      <c r="O14" s="8">
        <v>21</v>
      </c>
      <c r="P14" s="8">
        <v>21</v>
      </c>
      <c r="Q14" s="8">
        <v>21</v>
      </c>
    </row>
    <row r="15" spans="1:17" x14ac:dyDescent="0.2">
      <c r="A15" s="16" t="s">
        <v>18</v>
      </c>
      <c r="B15" s="13" t="s">
        <v>20</v>
      </c>
      <c r="C15" s="8">
        <v>20</v>
      </c>
      <c r="D15" s="8">
        <v>20</v>
      </c>
      <c r="E15" s="14">
        <v>22</v>
      </c>
      <c r="F15" s="8">
        <v>21</v>
      </c>
      <c r="G15" s="8">
        <v>21</v>
      </c>
      <c r="H15" s="8">
        <v>20</v>
      </c>
      <c r="I15" s="8">
        <v>20</v>
      </c>
      <c r="J15" s="8">
        <v>20</v>
      </c>
      <c r="K15" s="8">
        <v>20</v>
      </c>
      <c r="L15" s="8">
        <v>19</v>
      </c>
      <c r="M15" s="8">
        <v>19</v>
      </c>
      <c r="N15" s="8">
        <v>19</v>
      </c>
      <c r="O15" s="8">
        <v>17</v>
      </c>
      <c r="P15" s="8">
        <v>17</v>
      </c>
      <c r="Q15" s="8">
        <v>17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16</v>
      </c>
      <c r="B17" s="11" t="s">
        <v>21</v>
      </c>
      <c r="C17" s="8">
        <v>6</v>
      </c>
      <c r="D17" s="8">
        <v>8</v>
      </c>
      <c r="E17" s="8">
        <v>10</v>
      </c>
      <c r="F17" s="8">
        <v>12</v>
      </c>
      <c r="G17" s="8">
        <v>12</v>
      </c>
      <c r="H17" s="8">
        <v>12</v>
      </c>
      <c r="I17" s="8">
        <v>12</v>
      </c>
      <c r="J17" s="8">
        <v>12</v>
      </c>
      <c r="K17" s="8">
        <v>12</v>
      </c>
      <c r="L17" s="8">
        <v>12</v>
      </c>
      <c r="M17" s="8">
        <v>12</v>
      </c>
      <c r="N17" s="8">
        <v>12</v>
      </c>
      <c r="O17" s="8">
        <v>12</v>
      </c>
      <c r="P17" s="8">
        <v>12</v>
      </c>
      <c r="Q17" s="8">
        <v>12</v>
      </c>
    </row>
    <row r="18" spans="1:17" x14ac:dyDescent="0.2">
      <c r="A18" s="9" t="s">
        <v>17</v>
      </c>
      <c r="B18" s="12" t="s">
        <v>21</v>
      </c>
      <c r="C18" s="8">
        <v>11</v>
      </c>
      <c r="D18" s="8">
        <v>11</v>
      </c>
      <c r="E18" s="8">
        <v>11</v>
      </c>
      <c r="F18" s="8">
        <v>11</v>
      </c>
      <c r="G18" s="8">
        <v>11</v>
      </c>
      <c r="H18" s="8">
        <v>11</v>
      </c>
      <c r="I18" s="8">
        <v>11</v>
      </c>
      <c r="J18" s="8">
        <v>11</v>
      </c>
      <c r="K18" s="8">
        <v>11</v>
      </c>
      <c r="L18" s="8">
        <v>11</v>
      </c>
      <c r="M18" s="8">
        <v>11</v>
      </c>
      <c r="N18" s="8">
        <v>11</v>
      </c>
      <c r="O18" s="8">
        <v>11</v>
      </c>
      <c r="P18" s="8">
        <v>11</v>
      </c>
      <c r="Q18" s="8">
        <v>11</v>
      </c>
    </row>
    <row r="19" spans="1:17" x14ac:dyDescent="0.2">
      <c r="A19" s="16" t="s">
        <v>18</v>
      </c>
      <c r="B19" s="13" t="s">
        <v>21</v>
      </c>
      <c r="C19" s="8">
        <v>6</v>
      </c>
      <c r="D19" s="14">
        <v>8</v>
      </c>
      <c r="E19" s="8">
        <v>10</v>
      </c>
      <c r="F19" s="8">
        <v>10</v>
      </c>
      <c r="G19" s="14">
        <v>12</v>
      </c>
      <c r="H19" s="14">
        <v>14</v>
      </c>
      <c r="I19" s="14">
        <v>15</v>
      </c>
      <c r="J19" s="14">
        <v>15</v>
      </c>
      <c r="K19" s="14">
        <v>16</v>
      </c>
      <c r="L19" s="14">
        <v>12</v>
      </c>
      <c r="M19" s="14">
        <v>12</v>
      </c>
      <c r="N19" s="14">
        <v>12</v>
      </c>
      <c r="O19" s="8">
        <v>7</v>
      </c>
      <c r="P19" s="8">
        <v>7</v>
      </c>
      <c r="Q19" s="8">
        <v>7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  <c r="H31" s="25"/>
    </row>
    <row r="32" spans="1:17" x14ac:dyDescent="0.2">
      <c r="A32" s="11" t="s">
        <v>22</v>
      </c>
      <c r="B32" s="7" t="s">
        <v>16</v>
      </c>
      <c r="C32" s="26">
        <v>149</v>
      </c>
      <c r="D32" s="21">
        <v>150</v>
      </c>
      <c r="E32" s="21">
        <v>149</v>
      </c>
      <c r="F32" s="21">
        <v>149</v>
      </c>
      <c r="G32" s="21">
        <v>149</v>
      </c>
      <c r="H32" s="21"/>
    </row>
    <row r="33" spans="1:8" x14ac:dyDescent="0.2">
      <c r="A33" s="12" t="s">
        <v>22</v>
      </c>
      <c r="B33" s="9" t="s">
        <v>17</v>
      </c>
      <c r="C33" s="26">
        <v>149</v>
      </c>
      <c r="D33" s="21">
        <v>149</v>
      </c>
      <c r="E33" s="21">
        <v>149</v>
      </c>
      <c r="F33" s="21">
        <v>149</v>
      </c>
      <c r="G33" s="21">
        <v>149</v>
      </c>
      <c r="H33" s="21"/>
    </row>
    <row r="34" spans="1:8" x14ac:dyDescent="0.2">
      <c r="A34" s="13" t="s">
        <v>22</v>
      </c>
      <c r="B34" s="10" t="s">
        <v>18</v>
      </c>
      <c r="C34" s="26">
        <v>138</v>
      </c>
      <c r="D34" s="21">
        <v>145</v>
      </c>
      <c r="E34" s="21">
        <v>140</v>
      </c>
      <c r="F34" s="21">
        <v>130</v>
      </c>
      <c r="G34" s="21">
        <v>121</v>
      </c>
      <c r="H34" s="21"/>
    </row>
    <row r="35" spans="1:8" x14ac:dyDescent="0.2">
      <c r="A35" s="17"/>
      <c r="B35" s="8"/>
      <c r="C35" s="27">
        <v>7.4999999999999997E-2</v>
      </c>
      <c r="D35" s="28">
        <v>3.8199999999999998E-2</v>
      </c>
      <c r="E35" s="28">
        <v>5.7200000000000001E-2</v>
      </c>
      <c r="F35" s="28">
        <v>0.12429999999999999</v>
      </c>
      <c r="G35" s="28">
        <v>0.18479999999999999</v>
      </c>
      <c r="H35" s="8"/>
    </row>
    <row r="36" spans="1:8" x14ac:dyDescent="0.2">
      <c r="A36" s="8"/>
      <c r="B36" s="18" t="s">
        <v>23</v>
      </c>
      <c r="C36" s="29">
        <v>0.92500000000000004</v>
      </c>
      <c r="D36" s="19">
        <v>0.96179999999999999</v>
      </c>
      <c r="E36" s="19">
        <v>0.94279999999999997</v>
      </c>
      <c r="F36" s="19">
        <v>0.87570000000000003</v>
      </c>
      <c r="G36" s="19">
        <v>0.81520000000000004</v>
      </c>
      <c r="H36" s="20"/>
    </row>
    <row r="37" spans="1:8" x14ac:dyDescent="0.2">
      <c r="A37" s="17"/>
      <c r="B37" s="18" t="s">
        <v>24</v>
      </c>
      <c r="C37" s="30">
        <v>11</v>
      </c>
      <c r="D37" s="20">
        <v>6</v>
      </c>
      <c r="E37" s="20">
        <v>9</v>
      </c>
      <c r="F37" s="20">
        <v>19</v>
      </c>
      <c r="G37" s="20">
        <v>28</v>
      </c>
      <c r="H37" s="20"/>
    </row>
    <row r="38" spans="1:8" x14ac:dyDescent="0.2">
      <c r="A38" s="17"/>
      <c r="B38" s="8"/>
      <c r="C38" s="31"/>
      <c r="D38" s="21"/>
      <c r="E38" s="21"/>
      <c r="F38" s="21"/>
      <c r="G38" s="21"/>
      <c r="H38" s="21"/>
    </row>
    <row r="39" spans="1:8" x14ac:dyDescent="0.2">
      <c r="A39" s="15" t="s">
        <v>16</v>
      </c>
      <c r="B39" s="11" t="s">
        <v>19</v>
      </c>
      <c r="C39" s="26">
        <v>120</v>
      </c>
      <c r="D39" s="21">
        <v>117</v>
      </c>
      <c r="E39" s="21">
        <v>116</v>
      </c>
      <c r="F39" s="21">
        <v>116</v>
      </c>
      <c r="G39" s="21">
        <v>116</v>
      </c>
      <c r="H39" s="21"/>
    </row>
    <row r="40" spans="1:8" x14ac:dyDescent="0.2">
      <c r="A40" s="9" t="s">
        <v>17</v>
      </c>
      <c r="B40" s="12" t="s">
        <v>19</v>
      </c>
      <c r="C40" s="26">
        <v>117</v>
      </c>
      <c r="D40" s="21">
        <v>116</v>
      </c>
      <c r="E40" s="21">
        <v>116</v>
      </c>
      <c r="F40" s="21">
        <v>116</v>
      </c>
      <c r="G40" s="21">
        <v>116</v>
      </c>
      <c r="H40" s="21"/>
    </row>
    <row r="41" spans="1:8" x14ac:dyDescent="0.2">
      <c r="A41" s="16" t="s">
        <v>18</v>
      </c>
      <c r="B41" s="13" t="s">
        <v>19</v>
      </c>
      <c r="C41" s="26">
        <v>109</v>
      </c>
      <c r="D41" s="21">
        <v>112</v>
      </c>
      <c r="E41" s="21">
        <v>105</v>
      </c>
      <c r="F41" s="21">
        <v>99</v>
      </c>
      <c r="G41" s="21">
        <v>93</v>
      </c>
      <c r="H41" s="21"/>
    </row>
    <row r="42" spans="1:8" x14ac:dyDescent="0.2">
      <c r="A42" s="8"/>
      <c r="B42" s="17"/>
      <c r="C42" s="26"/>
      <c r="D42" s="21"/>
      <c r="E42" s="21"/>
      <c r="F42" s="21"/>
      <c r="G42" s="21"/>
      <c r="H42" s="21"/>
    </row>
    <row r="43" spans="1:8" x14ac:dyDescent="0.2">
      <c r="A43" s="15" t="s">
        <v>16</v>
      </c>
      <c r="B43" s="11" t="s">
        <v>20</v>
      </c>
      <c r="C43" s="26">
        <v>21</v>
      </c>
      <c r="D43" s="21">
        <v>21</v>
      </c>
      <c r="E43" s="21">
        <v>21</v>
      </c>
      <c r="F43" s="21">
        <v>21</v>
      </c>
      <c r="G43" s="21">
        <v>21</v>
      </c>
      <c r="H43" s="21"/>
    </row>
    <row r="44" spans="1:8" x14ac:dyDescent="0.2">
      <c r="A44" s="9" t="s">
        <v>17</v>
      </c>
      <c r="B44" s="12" t="s">
        <v>20</v>
      </c>
      <c r="C44" s="26">
        <v>21</v>
      </c>
      <c r="D44" s="21">
        <v>21</v>
      </c>
      <c r="E44" s="21">
        <v>21</v>
      </c>
      <c r="F44" s="21">
        <v>21</v>
      </c>
      <c r="G44" s="21">
        <v>21</v>
      </c>
      <c r="H44" s="21"/>
    </row>
    <row r="45" spans="1:8" x14ac:dyDescent="0.2">
      <c r="A45" s="16" t="s">
        <v>18</v>
      </c>
      <c r="B45" s="13" t="s">
        <v>20</v>
      </c>
      <c r="C45" s="26">
        <v>21</v>
      </c>
      <c r="D45" s="21">
        <v>21</v>
      </c>
      <c r="E45" s="21">
        <v>20</v>
      </c>
      <c r="F45" s="21">
        <v>19</v>
      </c>
      <c r="G45" s="21">
        <v>18</v>
      </c>
      <c r="H45" s="21"/>
    </row>
    <row r="46" spans="1:8" x14ac:dyDescent="0.2">
      <c r="A46" s="8"/>
      <c r="B46" s="17"/>
      <c r="C46" s="26"/>
      <c r="D46" s="21"/>
      <c r="E46" s="21"/>
      <c r="F46" s="21"/>
      <c r="G46" s="21"/>
      <c r="H46" s="21"/>
    </row>
    <row r="47" spans="1:8" x14ac:dyDescent="0.2">
      <c r="A47" s="15" t="s">
        <v>16</v>
      </c>
      <c r="B47" s="11" t="s">
        <v>21</v>
      </c>
      <c r="C47" s="26">
        <v>8</v>
      </c>
      <c r="D47" s="21">
        <v>12</v>
      </c>
      <c r="E47" s="21">
        <v>12</v>
      </c>
      <c r="F47" s="21">
        <v>12</v>
      </c>
      <c r="G47" s="21">
        <v>12</v>
      </c>
      <c r="H47" s="21"/>
    </row>
    <row r="48" spans="1:8" x14ac:dyDescent="0.2">
      <c r="A48" s="9" t="s">
        <v>17</v>
      </c>
      <c r="B48" s="12" t="s">
        <v>21</v>
      </c>
      <c r="C48" s="26">
        <v>11</v>
      </c>
      <c r="D48" s="21">
        <v>11</v>
      </c>
      <c r="E48" s="21">
        <v>11</v>
      </c>
      <c r="F48" s="21">
        <v>11</v>
      </c>
      <c r="G48" s="21">
        <v>11</v>
      </c>
      <c r="H48" s="21"/>
    </row>
    <row r="49" spans="1:8" x14ac:dyDescent="0.2">
      <c r="A49" s="16" t="s">
        <v>18</v>
      </c>
      <c r="B49" s="13" t="s">
        <v>21</v>
      </c>
      <c r="C49" s="26">
        <v>8</v>
      </c>
      <c r="D49" s="21">
        <v>12</v>
      </c>
      <c r="E49" s="14">
        <v>15</v>
      </c>
      <c r="F49" s="14">
        <v>12</v>
      </c>
      <c r="G49" s="21">
        <v>11</v>
      </c>
      <c r="H49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BEDF-2DC8-5B43-A028-CE573B9B779F}">
  <sheetPr>
    <tabColor theme="4" tint="0.79998168889431442"/>
  </sheetPr>
  <dimension ref="A1:P153"/>
  <sheetViews>
    <sheetView topLeftCell="A133" workbookViewId="0">
      <selection activeCell="A151" sqref="A151:XFD153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IF(ALL!C1&gt;0,ALL!C1,"")</f>
        <v>JAN</v>
      </c>
      <c r="C1" t="str">
        <f>IF(ALL!D1&gt;0,ALL!D1,"")</f>
        <v>FEB</v>
      </c>
      <c r="D1" t="str">
        <f>IF(ALL!E1&gt;0,ALL!E1,"")</f>
        <v>MAR</v>
      </c>
      <c r="E1" t="str">
        <f>IF(ALL!F1&gt;0,ALL!F1,"")</f>
        <v>APR</v>
      </c>
      <c r="F1" t="str">
        <f>IF(ALL!G1&gt;0,ALL!G1,"")</f>
        <v>MAY</v>
      </c>
      <c r="G1" t="str">
        <f>IF(ALL!H1&gt;0,ALL!H1,"")</f>
        <v>JUN</v>
      </c>
      <c r="H1" t="str">
        <f>IF(ALL!I1&gt;0,ALL!I1,"")</f>
        <v>JUL</v>
      </c>
      <c r="I1" t="str">
        <f>IF(ALL!J1&gt;0,ALL!J1,"")</f>
        <v>AUG</v>
      </c>
      <c r="J1" t="str">
        <f>IF(ALL!K1&gt;0,ALL!K1,"")</f>
        <v>SEP</v>
      </c>
      <c r="K1" t="str">
        <f>IF(ALL!L1&gt;0,ALL!L1,"")</f>
        <v>OCT</v>
      </c>
      <c r="L1" t="str">
        <f>IF(ALL!M1&gt;0,ALL!M1,"")</f>
        <v>NOV</v>
      </c>
      <c r="M1" t="str">
        <f>IF(ALL!N1&gt;0,ALL!N1,"")</f>
        <v>DEC</v>
      </c>
      <c r="N1" t="str">
        <f>IF(ALL!O1&gt;0,ALL!O1,"")</f>
        <v>JAN'27</v>
      </c>
      <c r="O1" t="str">
        <f>IF(ALL!P1&gt;0,ALL!P1,"")</f>
        <v>FEB'27</v>
      </c>
      <c r="P1" t="str">
        <f>IF(ALL!Q1&gt;0,ALL!Q1,"")</f>
        <v>MAR'27</v>
      </c>
    </row>
    <row r="2" spans="1:16" x14ac:dyDescent="0.2">
      <c r="A2" t="str">
        <f>IF(ALL!B2&gt;0,ALL!B2,"")</f>
        <v>Staff</v>
      </c>
      <c r="B2">
        <f>IF(ALL!C2&gt;0,ALL!C2,"")</f>
        <v>148</v>
      </c>
      <c r="C2">
        <f>IF(ALL!D2&gt;0,ALL!D2,"")</f>
        <v>149</v>
      </c>
      <c r="D2">
        <f>IF(ALL!E2&gt;0,ALL!E2,"")</f>
        <v>149</v>
      </c>
      <c r="E2">
        <f>IF(ALL!F2&gt;0,ALL!F2,"")</f>
        <v>151</v>
      </c>
      <c r="F2">
        <f>IF(ALL!G2&gt;0,ALL!G2,"")</f>
        <v>150</v>
      </c>
      <c r="G2">
        <f>IF(ALL!H2&gt;0,ALL!H2,"")</f>
        <v>150</v>
      </c>
      <c r="H2">
        <f>IF(ALL!I2&gt;0,ALL!I2,"")</f>
        <v>149</v>
      </c>
      <c r="I2">
        <f>IF(ALL!J2&gt;0,ALL!J2,"")</f>
        <v>149</v>
      </c>
      <c r="J2">
        <f>IF(ALL!K2&gt;0,ALL!K2,"")</f>
        <v>149</v>
      </c>
      <c r="K2">
        <f>IF(ALL!L2&gt;0,ALL!L2,"")</f>
        <v>149</v>
      </c>
      <c r="L2">
        <f>IF(ALL!M2&gt;0,ALL!M2,"")</f>
        <v>149</v>
      </c>
      <c r="M2">
        <f>IF(ALL!N2&gt;0,ALL!N2,"")</f>
        <v>149</v>
      </c>
      <c r="N2">
        <f>IF(ALL!O2&gt;0,ALL!O2,"")</f>
        <v>149</v>
      </c>
      <c r="O2">
        <f>IF(ALL!P2&gt;0,ALL!P2,"")</f>
        <v>149</v>
      </c>
      <c r="P2">
        <f>IF(ALL!Q2&gt;0,ALL!Q2,"")</f>
        <v>149</v>
      </c>
    </row>
    <row r="3" spans="1:16" x14ac:dyDescent="0.2">
      <c r="A3" t="str">
        <f>IF(ALL!B3&gt;0,ALL!B3,"")</f>
        <v>Staff AVG</v>
      </c>
      <c r="B3">
        <f>IF(ALL!C3&gt;0,ALL!C3,"")</f>
        <v>149</v>
      </c>
      <c r="C3">
        <f>IF(ALL!D3&gt;0,ALL!D3,"")</f>
        <v>149</v>
      </c>
      <c r="D3">
        <f>IF(ALL!E3&gt;0,ALL!E3,"")</f>
        <v>149</v>
      </c>
      <c r="E3">
        <f>IF(ALL!F3&gt;0,ALL!F3,"")</f>
        <v>149</v>
      </c>
      <c r="F3">
        <f>IF(ALL!G3&gt;0,ALL!G3,"")</f>
        <v>149</v>
      </c>
      <c r="G3">
        <f>IF(ALL!H3&gt;0,ALL!H3,"")</f>
        <v>149</v>
      </c>
      <c r="H3">
        <f>IF(ALL!I3&gt;0,ALL!I3,"")</f>
        <v>149</v>
      </c>
      <c r="I3">
        <f>IF(ALL!J3&gt;0,ALL!J3,"")</f>
        <v>149</v>
      </c>
      <c r="J3">
        <f>IF(ALL!K3&gt;0,ALL!K3,"")</f>
        <v>149</v>
      </c>
      <c r="K3">
        <f>IF(ALL!L3&gt;0,ALL!L3,"")</f>
        <v>149</v>
      </c>
      <c r="L3">
        <f>IF(ALL!M3&gt;0,ALL!M3,"")</f>
        <v>149</v>
      </c>
      <c r="M3">
        <f>IF(ALL!N3&gt;0,ALL!N3,"")</f>
        <v>149</v>
      </c>
      <c r="N3">
        <f>IF(ALL!O3&gt;0,ALL!O3,"")</f>
        <v>149</v>
      </c>
      <c r="O3">
        <f>IF(ALL!P3&gt;0,ALL!P3,"")</f>
        <v>149</v>
      </c>
      <c r="P3">
        <f>IF(ALL!Q3&gt;0,ALL!Q3,"")</f>
        <v>149</v>
      </c>
    </row>
    <row r="4" spans="1:16" x14ac:dyDescent="0.2">
      <c r="A4" t="str">
        <f>IF(ALL!B4&gt;0,ALL!B4,"")</f>
        <v>Plan</v>
      </c>
      <c r="B4">
        <f>IF(ALL!C4&gt;0,ALL!C4,"")</f>
        <v>131</v>
      </c>
      <c r="C4">
        <f>IF(ALL!D4&gt;0,ALL!D4,"")</f>
        <v>139</v>
      </c>
      <c r="D4">
        <f>IF(ALL!E4&gt;0,ALL!E4,"")</f>
        <v>142</v>
      </c>
      <c r="E4">
        <f>IF(ALL!F4&gt;0,ALL!F4,"")</f>
        <v>143</v>
      </c>
      <c r="F4">
        <f>IF(ALL!G4&gt;0,ALL!G4,"")</f>
        <v>147</v>
      </c>
      <c r="G4">
        <f>IF(ALL!H4&gt;0,ALL!H4,"")</f>
        <v>144</v>
      </c>
      <c r="H4">
        <f>IF(ALL!I4&gt;0,ALL!I4,"")</f>
        <v>143</v>
      </c>
      <c r="I4">
        <f>IF(ALL!J4&gt;0,ALL!J4,"")</f>
        <v>140</v>
      </c>
      <c r="J4">
        <f>IF(ALL!K4&gt;0,ALL!K4,"")</f>
        <v>139</v>
      </c>
      <c r="K4">
        <f>IF(ALL!L4&gt;0,ALL!L4,"")</f>
        <v>132</v>
      </c>
      <c r="L4">
        <f>IF(ALL!M4&gt;0,ALL!M4,"")</f>
        <v>130</v>
      </c>
      <c r="M4">
        <f>IF(ALL!N4&gt;0,ALL!N4,"")</f>
        <v>130</v>
      </c>
      <c r="N4">
        <f>IF(ALL!O4&gt;0,ALL!O4,"")</f>
        <v>105</v>
      </c>
      <c r="O4">
        <f>IF(ALL!P4&gt;0,ALL!P4,"")</f>
        <v>104</v>
      </c>
      <c r="P4">
        <f>IF(ALL!Q4&gt;0,ALL!Q4,"")</f>
        <v>104</v>
      </c>
    </row>
    <row r="5" spans="1:16" x14ac:dyDescent="0.2">
      <c r="A5" t="str">
        <f>IF(ALL!B11&gt;0,ALL!B11,"")</f>
        <v>PAYROLL</v>
      </c>
      <c r="B5">
        <f>IF(ALL!C11&gt;0,ALL!C11,"")</f>
        <v>105</v>
      </c>
      <c r="C5">
        <f>IF(ALL!D11&gt;0,ALL!D11,"")</f>
        <v>111</v>
      </c>
      <c r="D5">
        <f>IF(ALL!E11&gt;0,ALL!E11,"")</f>
        <v>111</v>
      </c>
      <c r="E5">
        <f>IF(ALL!F11&gt;0,ALL!F11,"")</f>
        <v>112</v>
      </c>
      <c r="F5">
        <f>IF(ALL!G11&gt;0,ALL!G11,"")</f>
        <v>113</v>
      </c>
      <c r="G5">
        <f>IF(ALL!H11&gt;0,ALL!H11,"")</f>
        <v>111</v>
      </c>
      <c r="H5">
        <f>IF(ALL!I11&gt;0,ALL!I11,"")</f>
        <v>108</v>
      </c>
      <c r="I5">
        <f>IF(ALL!J11&gt;0,ALL!J11,"")</f>
        <v>105</v>
      </c>
      <c r="J5">
        <f>IF(ALL!K11&gt;0,ALL!K11,"")</f>
        <v>103</v>
      </c>
      <c r="K5">
        <f>IF(ALL!L11&gt;0,ALL!L11,"")</f>
        <v>100</v>
      </c>
      <c r="L5">
        <f>IF(ALL!M11&gt;0,ALL!M11,"")</f>
        <v>99</v>
      </c>
      <c r="M5">
        <f>IF(ALL!N11&gt;0,ALL!N11,"")</f>
        <v>98</v>
      </c>
      <c r="N5">
        <f>IF(ALL!O11&gt;0,ALL!O11,"")</f>
        <v>81</v>
      </c>
      <c r="O5">
        <f>IF(ALL!P11&gt;0,ALL!P11,"")</f>
        <v>81</v>
      </c>
      <c r="P5">
        <f>IF(ALL!Q11&gt;0,ALL!Q11,"")</f>
        <v>81</v>
      </c>
    </row>
    <row r="6" spans="1:16" x14ac:dyDescent="0.2">
      <c r="A6" t="str">
        <f>IF(ALL!B15&gt;0,ALL!B15,"")</f>
        <v>CONTRACTOR</v>
      </c>
      <c r="B6">
        <f>IF(ALL!C15&gt;0,ALL!C15,"")</f>
        <v>20</v>
      </c>
      <c r="C6">
        <f>IF(ALL!D15&gt;0,ALL!D15,"")</f>
        <v>20</v>
      </c>
      <c r="D6">
        <f>IF(ALL!E15&gt;0,ALL!E15,"")</f>
        <v>22</v>
      </c>
      <c r="E6">
        <f>IF(ALL!F15&gt;0,ALL!F15,"")</f>
        <v>21</v>
      </c>
      <c r="F6">
        <f>IF(ALL!G15&gt;0,ALL!G15,"")</f>
        <v>21</v>
      </c>
      <c r="G6">
        <f>IF(ALL!H15&gt;0,ALL!H15,"")</f>
        <v>20</v>
      </c>
      <c r="H6">
        <f>IF(ALL!I15&gt;0,ALL!I15,"")</f>
        <v>20</v>
      </c>
      <c r="I6">
        <f>IF(ALL!J15&gt;0,ALL!J15,"")</f>
        <v>20</v>
      </c>
      <c r="J6">
        <f>IF(ALL!K15&gt;0,ALL!K15,"")</f>
        <v>20</v>
      </c>
      <c r="K6">
        <f>IF(ALL!L15&gt;0,ALL!L15,"")</f>
        <v>19</v>
      </c>
      <c r="L6">
        <f>IF(ALL!M15&gt;0,ALL!M15,"")</f>
        <v>19</v>
      </c>
      <c r="M6">
        <f>IF(ALL!N15&gt;0,ALL!N15,"")</f>
        <v>19</v>
      </c>
      <c r="N6">
        <f>IF(ALL!O15&gt;0,ALL!O15,"")</f>
        <v>17</v>
      </c>
      <c r="O6">
        <f>IF(ALL!P15&gt;0,ALL!P15,"")</f>
        <v>17</v>
      </c>
      <c r="P6">
        <f>IF(ALL!Q15&gt;0,ALL!Q15,"")</f>
        <v>17</v>
      </c>
    </row>
    <row r="7" spans="1:16" x14ac:dyDescent="0.2">
      <c r="A7" t="str">
        <f>IF(ALL!B19&gt;0,ALL!B19,"")</f>
        <v>OUTSOURCE</v>
      </c>
      <c r="B7">
        <f>IF(ALL!C19&gt;0,ALL!C19,"")</f>
        <v>6</v>
      </c>
      <c r="C7">
        <f>IF(ALL!D19&gt;0,ALL!D19,"")</f>
        <v>8</v>
      </c>
      <c r="D7">
        <f>IF(ALL!E19&gt;0,ALL!E19,"")</f>
        <v>10</v>
      </c>
      <c r="E7">
        <f>IF(ALL!F19&gt;0,ALL!F19,"")</f>
        <v>10</v>
      </c>
      <c r="F7">
        <f>IF(ALL!G19&gt;0,ALL!G19,"")</f>
        <v>12</v>
      </c>
      <c r="G7">
        <f>IF(ALL!H19&gt;0,ALL!H19,"")</f>
        <v>14</v>
      </c>
      <c r="H7">
        <f>IF(ALL!I19&gt;0,ALL!I19,"")</f>
        <v>15</v>
      </c>
      <c r="I7">
        <f>IF(ALL!J19&gt;0,ALL!J19,"")</f>
        <v>15</v>
      </c>
      <c r="J7">
        <f>IF(ALL!K19&gt;0,ALL!K19,"")</f>
        <v>16</v>
      </c>
      <c r="K7">
        <f>IF(ALL!L19&gt;0,ALL!L19,"")</f>
        <v>12</v>
      </c>
      <c r="L7">
        <f>IF(ALL!M19&gt;0,ALL!M19,"")</f>
        <v>12</v>
      </c>
      <c r="M7">
        <f>IF(ALL!N19&gt;0,ALL!N19,"")</f>
        <v>12</v>
      </c>
      <c r="N7">
        <f>IF(ALL!O19&gt;0,ALL!O19,"")</f>
        <v>7</v>
      </c>
      <c r="O7">
        <f>IF(ALL!P19&gt;0,ALL!P19,"")</f>
        <v>7</v>
      </c>
      <c r="P7">
        <f>IF(ALL!Q19&gt;0,ALL!Q19,"")</f>
        <v>7</v>
      </c>
    </row>
    <row r="11" spans="1:16" x14ac:dyDescent="0.2">
      <c r="B11" t="str">
        <f>IF(ALL!C1&gt;0,ALL!C1,"")</f>
        <v>JAN</v>
      </c>
      <c r="C11" t="str">
        <f>IF(ALL!D1&gt;0,ALL!D1,"")</f>
        <v>FEB</v>
      </c>
      <c r="D11" t="str">
        <f>IF(ALL!E1&gt;0,ALL!E1,"")</f>
        <v>MAR</v>
      </c>
      <c r="E11" t="str">
        <f>IF(ALL!F1&gt;0,ALL!F1,"")</f>
        <v>APR</v>
      </c>
      <c r="F11" t="str">
        <f>IF(ALL!G1&gt;0,ALL!G1,"")</f>
        <v>MAY</v>
      </c>
      <c r="G11" t="str">
        <f>IF(ALL!H1&gt;0,ALL!H1,"")</f>
        <v>JUN</v>
      </c>
      <c r="H11" t="str">
        <f>IF(ALL!I1&gt;0,ALL!I1,"")</f>
        <v>JUL</v>
      </c>
      <c r="I11" t="str">
        <f>IF(ALL!J1&gt;0,ALL!J1,"")</f>
        <v>AUG</v>
      </c>
      <c r="J11" t="str">
        <f>IF(ALL!K1&gt;0,ALL!K1,"")</f>
        <v>SEP</v>
      </c>
      <c r="K11" t="str">
        <f>IF(ALL!L1&gt;0,ALL!L1,"")</f>
        <v>OCT</v>
      </c>
      <c r="L11" t="str">
        <f>IF(ALL!M1&gt;0,ALL!M1,"")</f>
        <v>NOV</v>
      </c>
      <c r="M11" t="str">
        <f>IF(ALL!N1&gt;0,ALL!N1,"")</f>
        <v>DEC</v>
      </c>
      <c r="N11" t="str">
        <f>IF(ALL!O1&gt;0,ALL!O1,"")</f>
        <v>JAN'27</v>
      </c>
      <c r="O11" t="str">
        <f>IF(ALL!P1&gt;0,ALL!P1,"")</f>
        <v>FEB'27</v>
      </c>
      <c r="P11" t="str">
        <f>IF(ALL!Q1&gt;0,ALL!Q1,"")</f>
        <v>MAR'27</v>
      </c>
    </row>
    <row r="12" spans="1:16" x14ac:dyDescent="0.2">
      <c r="A12" t="str">
        <f>IF(ALL!A9&gt;0,ALL!A9,"")</f>
        <v>Staff</v>
      </c>
      <c r="B12">
        <f>IF(ALL!C9&gt;0,ALL!C9,"")</f>
        <v>121</v>
      </c>
      <c r="C12">
        <f>IF(ALL!D9&gt;0,ALL!D9,"")</f>
        <v>120</v>
      </c>
      <c r="D12">
        <f>IF(ALL!E9&gt;0,ALL!E9,"")</f>
        <v>118</v>
      </c>
      <c r="E12">
        <f>IF(ALL!F9&gt;0,ALL!F9,"")</f>
        <v>118</v>
      </c>
      <c r="F12">
        <f>IF(ALL!G9&gt;0,ALL!G9,"")</f>
        <v>117</v>
      </c>
      <c r="G12">
        <f>IF(ALL!H9&gt;0,ALL!H9,"")</f>
        <v>117</v>
      </c>
      <c r="H12">
        <f>IF(ALL!I9&gt;0,ALL!I9,"")</f>
        <v>116</v>
      </c>
      <c r="I12">
        <f>IF(ALL!J9&gt;0,ALL!J9,"")</f>
        <v>116</v>
      </c>
      <c r="J12">
        <f>IF(ALL!K9&gt;0,ALL!K9,"")</f>
        <v>116</v>
      </c>
      <c r="K12">
        <f>IF(ALL!L9&gt;0,ALL!L9,"")</f>
        <v>116</v>
      </c>
      <c r="L12">
        <f>IF(ALL!M9&gt;0,ALL!M9,"")</f>
        <v>116</v>
      </c>
      <c r="M12">
        <f>IF(ALL!N9&gt;0,ALL!N9,"")</f>
        <v>116</v>
      </c>
      <c r="N12">
        <f>IF(ALL!O9&gt;0,ALL!O9,"")</f>
        <v>116</v>
      </c>
      <c r="O12">
        <f>IF(ALL!P9&gt;0,ALL!P9,"")</f>
        <v>116</v>
      </c>
      <c r="P12">
        <f>IF(ALL!Q9&gt;0,ALL!Q9,"")</f>
        <v>116</v>
      </c>
    </row>
    <row r="13" spans="1:16" x14ac:dyDescent="0.2">
      <c r="A13" t="str">
        <f>IF(ALL!A10&gt;0,ALL!A10,"")</f>
        <v>Staff AVG</v>
      </c>
      <c r="B13">
        <f>IF(ALL!C10&gt;0,ALL!C10,"")</f>
        <v>117</v>
      </c>
      <c r="C13">
        <f>IF(ALL!D10&gt;0,ALL!D10,"")</f>
        <v>117</v>
      </c>
      <c r="D13">
        <f>IF(ALL!E10&gt;0,ALL!E10,"")</f>
        <v>117</v>
      </c>
      <c r="E13">
        <f>IF(ALL!F10&gt;0,ALL!F10,"")</f>
        <v>116</v>
      </c>
      <c r="F13">
        <f>IF(ALL!G10&gt;0,ALL!G10,"")</f>
        <v>116</v>
      </c>
      <c r="G13">
        <f>IF(ALL!H10&gt;0,ALL!H10,"")</f>
        <v>116</v>
      </c>
      <c r="H13">
        <f>IF(ALL!I10&gt;0,ALL!I10,"")</f>
        <v>116</v>
      </c>
      <c r="I13">
        <f>IF(ALL!J10&gt;0,ALL!J10,"")</f>
        <v>116</v>
      </c>
      <c r="J13">
        <f>IF(ALL!K10&gt;0,ALL!K10,"")</f>
        <v>116</v>
      </c>
      <c r="K13">
        <f>IF(ALL!L10&gt;0,ALL!L10,"")</f>
        <v>116</v>
      </c>
      <c r="L13">
        <f>IF(ALL!M10&gt;0,ALL!M10,"")</f>
        <v>116</v>
      </c>
      <c r="M13">
        <f>IF(ALL!N10&gt;0,ALL!N10,"")</f>
        <v>116</v>
      </c>
      <c r="N13">
        <f>IF(ALL!O10&gt;0,ALL!O10,"")</f>
        <v>116</v>
      </c>
      <c r="O13">
        <f>IF(ALL!P10&gt;0,ALL!P10,"")</f>
        <v>116</v>
      </c>
      <c r="P13">
        <f>IF(ALL!Q10&gt;0,ALL!Q10,"")</f>
        <v>116</v>
      </c>
    </row>
    <row r="14" spans="1:16" x14ac:dyDescent="0.2">
      <c r="A14" t="str">
        <f>IF(ALL!A11&gt;0,ALL!A11,"")</f>
        <v>Plan</v>
      </c>
      <c r="B14">
        <f>IF(ALL!C11&gt;0,ALL!C11,"")</f>
        <v>105</v>
      </c>
      <c r="C14">
        <f>IF(ALL!D11&gt;0,ALL!D11,"")</f>
        <v>111</v>
      </c>
      <c r="D14">
        <f>IF(ALL!E11&gt;0,ALL!E11,"")</f>
        <v>111</v>
      </c>
      <c r="E14">
        <f>IF(ALL!F11&gt;0,ALL!F11,"")</f>
        <v>112</v>
      </c>
      <c r="F14">
        <f>IF(ALL!G11&gt;0,ALL!G11,"")</f>
        <v>113</v>
      </c>
      <c r="G14">
        <f>IF(ALL!H11&gt;0,ALL!H11,"")</f>
        <v>111</v>
      </c>
      <c r="H14">
        <f>IF(ALL!I11&gt;0,ALL!I11,"")</f>
        <v>108</v>
      </c>
      <c r="I14">
        <f>IF(ALL!J11&gt;0,ALL!J11,"")</f>
        <v>105</v>
      </c>
      <c r="J14">
        <f>IF(ALL!K11&gt;0,ALL!K11,"")</f>
        <v>103</v>
      </c>
      <c r="K14">
        <f>IF(ALL!L11&gt;0,ALL!L11,"")</f>
        <v>100</v>
      </c>
      <c r="L14">
        <f>IF(ALL!M11&gt;0,ALL!M11,"")</f>
        <v>99</v>
      </c>
      <c r="M14">
        <f>IF(ALL!N11&gt;0,ALL!N11,"")</f>
        <v>98</v>
      </c>
      <c r="N14">
        <f>IF(ALL!O11&gt;0,ALL!O11,"")</f>
        <v>81</v>
      </c>
      <c r="O14">
        <f>IF(ALL!P11&gt;0,ALL!P11,"")</f>
        <v>81</v>
      </c>
      <c r="P14">
        <f>IF(ALL!Q11&gt;0,ALL!Q11,"")</f>
        <v>81</v>
      </c>
    </row>
    <row r="21" spans="1:16" x14ac:dyDescent="0.2">
      <c r="B21" t="str">
        <f>IF(ALL!C1&gt;0,ALL!C1,"")</f>
        <v>JAN</v>
      </c>
      <c r="C21" t="str">
        <f>IF(ALL!D1&gt;0,ALL!D1,"")</f>
        <v>FEB</v>
      </c>
      <c r="D21" t="str">
        <f>IF(ALL!E1&gt;0,ALL!E1,"")</f>
        <v>MAR</v>
      </c>
      <c r="E21" t="str">
        <f>IF(ALL!F1&gt;0,ALL!F1,"")</f>
        <v>APR</v>
      </c>
      <c r="F21" t="str">
        <f>IF(ALL!G1&gt;0,ALL!G1,"")</f>
        <v>MAY</v>
      </c>
      <c r="G21" t="str">
        <f>IF(ALL!H1&gt;0,ALL!H1,"")</f>
        <v>JUN</v>
      </c>
      <c r="H21" t="str">
        <f>IF(ALL!I1&gt;0,ALL!I1,"")</f>
        <v>JUL</v>
      </c>
      <c r="I21" t="str">
        <f>IF(ALL!J1&gt;0,ALL!J1,"")</f>
        <v>AUG</v>
      </c>
      <c r="J21" t="str">
        <f>IF(ALL!K1&gt;0,ALL!K1,"")</f>
        <v>SEP</v>
      </c>
      <c r="K21" t="str">
        <f>IF(ALL!L1&gt;0,ALL!L1,"")</f>
        <v>OCT</v>
      </c>
      <c r="L21" t="str">
        <f>IF(ALL!M1&gt;0,ALL!M1,"")</f>
        <v>NOV</v>
      </c>
      <c r="M21" t="str">
        <f>IF(ALL!N1&gt;0,ALL!N1,"")</f>
        <v>DEC</v>
      </c>
      <c r="N21" t="str">
        <f>IF(ALL!O1&gt;0,ALL!O1,"")</f>
        <v>JAN'27</v>
      </c>
      <c r="O21" t="str">
        <f>IF(ALL!P1&gt;0,ALL!P1,"")</f>
        <v>FEB'27</v>
      </c>
      <c r="P21" t="str">
        <f>IF(ALL!Q1&gt;0,ALL!Q1,"")</f>
        <v>MAR'27</v>
      </c>
    </row>
    <row r="22" spans="1:16" x14ac:dyDescent="0.2">
      <c r="A22" t="str">
        <f>IF(ALL!A13&gt;0,ALL!A13,"")</f>
        <v>Staff</v>
      </c>
      <c r="B22">
        <f>IF(ALL!C13&gt;0,ALL!C13,"")</f>
        <v>21</v>
      </c>
      <c r="C22">
        <f>IF(ALL!D13&gt;0,ALL!D13,"")</f>
        <v>21</v>
      </c>
      <c r="D22">
        <f>IF(ALL!E13&gt;0,ALL!E13,"")</f>
        <v>21</v>
      </c>
      <c r="E22">
        <f>IF(ALL!F13&gt;0,ALL!F13,"")</f>
        <v>21</v>
      </c>
      <c r="F22">
        <f>IF(ALL!G13&gt;0,ALL!G13,"")</f>
        <v>21</v>
      </c>
      <c r="G22">
        <f>IF(ALL!H13&gt;0,ALL!H13,"")</f>
        <v>21</v>
      </c>
      <c r="H22">
        <f>IF(ALL!I13&gt;0,ALL!I13,"")</f>
        <v>21</v>
      </c>
      <c r="I22">
        <f>IF(ALL!J13&gt;0,ALL!J13,"")</f>
        <v>21</v>
      </c>
      <c r="J22">
        <f>IF(ALL!K13&gt;0,ALL!K13,"")</f>
        <v>21</v>
      </c>
      <c r="K22">
        <f>IF(ALL!L13&gt;0,ALL!L13,"")</f>
        <v>21</v>
      </c>
      <c r="L22">
        <f>IF(ALL!M13&gt;0,ALL!M13,"")</f>
        <v>21</v>
      </c>
      <c r="M22">
        <f>IF(ALL!N13&gt;0,ALL!N13,"")</f>
        <v>21</v>
      </c>
      <c r="N22">
        <f>IF(ALL!O13&gt;0,ALL!O13,"")</f>
        <v>21</v>
      </c>
      <c r="O22">
        <f>IF(ALL!P13&gt;0,ALL!P13,"")</f>
        <v>21</v>
      </c>
      <c r="P22">
        <f>IF(ALL!Q13&gt;0,ALL!Q13,"")</f>
        <v>21</v>
      </c>
    </row>
    <row r="23" spans="1:16" x14ac:dyDescent="0.2">
      <c r="A23" t="str">
        <f>IF(ALL!A14&gt;0,ALL!A14,"")</f>
        <v>Staff AVG</v>
      </c>
      <c r="B23">
        <f>IF(ALL!C14&gt;0,ALL!C14,"")</f>
        <v>21</v>
      </c>
      <c r="C23">
        <f>IF(ALL!D14&gt;0,ALL!D14,"")</f>
        <v>21</v>
      </c>
      <c r="D23">
        <f>IF(ALL!E14&gt;0,ALL!E14,"")</f>
        <v>21</v>
      </c>
      <c r="E23">
        <f>IF(ALL!F14&gt;0,ALL!F14,"")</f>
        <v>21</v>
      </c>
      <c r="F23">
        <f>IF(ALL!G14&gt;0,ALL!G14,"")</f>
        <v>21</v>
      </c>
      <c r="G23">
        <f>IF(ALL!H14&gt;0,ALL!H14,"")</f>
        <v>21</v>
      </c>
      <c r="H23">
        <f>IF(ALL!I14&gt;0,ALL!I14,"")</f>
        <v>21</v>
      </c>
      <c r="I23">
        <f>IF(ALL!J14&gt;0,ALL!J14,"")</f>
        <v>21</v>
      </c>
      <c r="J23">
        <f>IF(ALL!K14&gt;0,ALL!K14,"")</f>
        <v>21</v>
      </c>
      <c r="K23">
        <f>IF(ALL!L14&gt;0,ALL!L14,"")</f>
        <v>21</v>
      </c>
      <c r="L23">
        <f>IF(ALL!M14&gt;0,ALL!M14,"")</f>
        <v>21</v>
      </c>
      <c r="M23">
        <f>IF(ALL!N14&gt;0,ALL!N14,"")</f>
        <v>21</v>
      </c>
      <c r="N23">
        <f>IF(ALL!O14&gt;0,ALL!O14,"")</f>
        <v>21</v>
      </c>
      <c r="O23">
        <f>IF(ALL!P14&gt;0,ALL!P14,"")</f>
        <v>21</v>
      </c>
      <c r="P23">
        <f>IF(ALL!Q14&gt;0,ALL!Q14,"")</f>
        <v>21</v>
      </c>
    </row>
    <row r="24" spans="1:16" x14ac:dyDescent="0.2">
      <c r="A24" t="str">
        <f>IF(ALL!A15&gt;0,ALL!A15,"")</f>
        <v>Plan</v>
      </c>
      <c r="B24">
        <f>IF(ALL!C15&gt;0,ALL!C15,"")</f>
        <v>20</v>
      </c>
      <c r="C24">
        <f>IF(ALL!D15&gt;0,ALL!D15,"")</f>
        <v>20</v>
      </c>
      <c r="D24">
        <f>IF(ALL!E15&gt;0,ALL!E15,"")</f>
        <v>22</v>
      </c>
      <c r="E24">
        <f>IF(ALL!F15&gt;0,ALL!F15,"")</f>
        <v>21</v>
      </c>
      <c r="F24">
        <f>IF(ALL!G15&gt;0,ALL!G15,"")</f>
        <v>21</v>
      </c>
      <c r="G24">
        <f>IF(ALL!H15&gt;0,ALL!H15,"")</f>
        <v>20</v>
      </c>
      <c r="H24">
        <f>IF(ALL!I15&gt;0,ALL!I15,"")</f>
        <v>20</v>
      </c>
      <c r="I24">
        <f>IF(ALL!J15&gt;0,ALL!J15,"")</f>
        <v>20</v>
      </c>
      <c r="J24">
        <f>IF(ALL!K15&gt;0,ALL!K15,"")</f>
        <v>20</v>
      </c>
      <c r="K24">
        <f>IF(ALL!L15&gt;0,ALL!L15,"")</f>
        <v>19</v>
      </c>
      <c r="L24">
        <f>IF(ALL!M15&gt;0,ALL!M15,"")</f>
        <v>19</v>
      </c>
      <c r="M24">
        <f>IF(ALL!N15&gt;0,ALL!N15,"")</f>
        <v>19</v>
      </c>
      <c r="N24">
        <f>IF(ALL!O15&gt;0,ALL!O15,"")</f>
        <v>17</v>
      </c>
      <c r="O24">
        <f>IF(ALL!P15&gt;0,ALL!P15,"")</f>
        <v>17</v>
      </c>
      <c r="P24">
        <f>IF(ALL!Q15&gt;0,ALL!Q15,"")</f>
        <v>17</v>
      </c>
    </row>
    <row r="31" spans="1:16" x14ac:dyDescent="0.2">
      <c r="B31" t="str">
        <f>IF(ALL!C1&gt;0,ALL!C1,"")</f>
        <v>JAN</v>
      </c>
      <c r="C31" t="str">
        <f>IF(ALL!D1&gt;0,ALL!D1,"")</f>
        <v>FEB</v>
      </c>
      <c r="D31" t="str">
        <f>IF(ALL!E1&gt;0,ALL!E1,"")</f>
        <v>MAR</v>
      </c>
      <c r="E31" t="str">
        <f>IF(ALL!F1&gt;0,ALL!F1,"")</f>
        <v>APR</v>
      </c>
      <c r="F31" t="str">
        <f>IF(ALL!G1&gt;0,ALL!G1,"")</f>
        <v>MAY</v>
      </c>
      <c r="G31" t="str">
        <f>IF(ALL!H1&gt;0,ALL!H1,"")</f>
        <v>JUN</v>
      </c>
      <c r="H31" t="str">
        <f>IF(ALL!I1&gt;0,ALL!I1,"")</f>
        <v>JUL</v>
      </c>
      <c r="I31" t="str">
        <f>IF(ALL!J1&gt;0,ALL!J1,"")</f>
        <v>AUG</v>
      </c>
      <c r="J31" t="str">
        <f>IF(ALL!K1&gt;0,ALL!K1,"")</f>
        <v>SEP</v>
      </c>
      <c r="K31" t="str">
        <f>IF(ALL!L1&gt;0,ALL!L1,"")</f>
        <v>OCT</v>
      </c>
      <c r="L31" t="str">
        <f>IF(ALL!M1&gt;0,ALL!M1,"")</f>
        <v>NOV</v>
      </c>
      <c r="M31" t="str">
        <f>IF(ALL!N1&gt;0,ALL!N1,"")</f>
        <v>DEC</v>
      </c>
      <c r="N31" t="str">
        <f>IF(ALL!O1&gt;0,ALL!O1,"")</f>
        <v>JAN'27</v>
      </c>
      <c r="O31" t="str">
        <f>IF(ALL!P1&gt;0,ALL!P1,"")</f>
        <v>FEB'27</v>
      </c>
      <c r="P31" t="str">
        <f>IF(ALL!Q1&gt;0,ALL!Q1,"")</f>
        <v>MAR'27</v>
      </c>
    </row>
    <row r="32" spans="1:16" x14ac:dyDescent="0.2">
      <c r="A32" t="str">
        <f>IF(ALL!A17&gt;0,ALL!A17,"")</f>
        <v>Staff</v>
      </c>
      <c r="B32">
        <f>IF(ALL!C17&gt;0,ALL!C17,"")</f>
        <v>6</v>
      </c>
      <c r="C32">
        <f>IF(ALL!D17&gt;0,ALL!D17,"")</f>
        <v>8</v>
      </c>
      <c r="D32">
        <f>IF(ALL!E17&gt;0,ALL!E17,"")</f>
        <v>10</v>
      </c>
      <c r="E32">
        <f>IF(ALL!F17&gt;0,ALL!F17,"")</f>
        <v>12</v>
      </c>
      <c r="F32">
        <f>IF(ALL!G17&gt;0,ALL!G17,"")</f>
        <v>12</v>
      </c>
      <c r="G32">
        <f>IF(ALL!H17&gt;0,ALL!H17,"")</f>
        <v>12</v>
      </c>
      <c r="H32">
        <f>IF(ALL!I17&gt;0,ALL!I17,"")</f>
        <v>12</v>
      </c>
      <c r="I32">
        <f>IF(ALL!J17&gt;0,ALL!J17,"")</f>
        <v>12</v>
      </c>
      <c r="J32">
        <f>IF(ALL!K17&gt;0,ALL!K17,"")</f>
        <v>12</v>
      </c>
      <c r="K32">
        <f>IF(ALL!L17&gt;0,ALL!L17,"")</f>
        <v>12</v>
      </c>
      <c r="L32">
        <f>IF(ALL!M17&gt;0,ALL!M17,"")</f>
        <v>12</v>
      </c>
      <c r="M32">
        <f>IF(ALL!N17&gt;0,ALL!N17,"")</f>
        <v>12</v>
      </c>
      <c r="N32">
        <f>IF(ALL!O17&gt;0,ALL!O17,"")</f>
        <v>12</v>
      </c>
      <c r="O32">
        <f>IF(ALL!P17&gt;0,ALL!P17,"")</f>
        <v>12</v>
      </c>
      <c r="P32">
        <f>IF(ALL!Q17&gt;0,ALL!Q17,"")</f>
        <v>12</v>
      </c>
    </row>
    <row r="33" spans="1:16" x14ac:dyDescent="0.2">
      <c r="A33" t="str">
        <f>IF(ALL!A18&gt;0,ALL!A18,"")</f>
        <v>Staff AVG</v>
      </c>
      <c r="B33">
        <f>IF(ALL!C18&gt;0,ALL!C18,"")</f>
        <v>11</v>
      </c>
      <c r="C33">
        <f>IF(ALL!D18&gt;0,ALL!D18,"")</f>
        <v>11</v>
      </c>
      <c r="D33">
        <f>IF(ALL!E18&gt;0,ALL!E18,"")</f>
        <v>11</v>
      </c>
      <c r="E33">
        <f>IF(ALL!F18&gt;0,ALL!F18,"")</f>
        <v>11</v>
      </c>
      <c r="F33">
        <f>IF(ALL!G18&gt;0,ALL!G18,"")</f>
        <v>11</v>
      </c>
      <c r="G33">
        <f>IF(ALL!H18&gt;0,ALL!H18,"")</f>
        <v>11</v>
      </c>
      <c r="H33">
        <f>IF(ALL!I18&gt;0,ALL!I18,"")</f>
        <v>11</v>
      </c>
      <c r="I33">
        <f>IF(ALL!J18&gt;0,ALL!J18,"")</f>
        <v>11</v>
      </c>
      <c r="J33">
        <f>IF(ALL!K18&gt;0,ALL!K18,"")</f>
        <v>11</v>
      </c>
      <c r="K33">
        <f>IF(ALL!L18&gt;0,ALL!L18,"")</f>
        <v>11</v>
      </c>
      <c r="L33">
        <f>IF(ALL!M18&gt;0,ALL!M18,"")</f>
        <v>11</v>
      </c>
      <c r="M33">
        <f>IF(ALL!N18&gt;0,ALL!N18,"")</f>
        <v>11</v>
      </c>
      <c r="N33">
        <f>IF(ALL!O18&gt;0,ALL!O18,"")</f>
        <v>11</v>
      </c>
      <c r="O33">
        <f>IF(ALL!P18&gt;0,ALL!P18,"")</f>
        <v>11</v>
      </c>
      <c r="P33">
        <f>IF(ALL!Q18&gt;0,ALL!Q18,"")</f>
        <v>11</v>
      </c>
    </row>
    <row r="34" spans="1:16" x14ac:dyDescent="0.2">
      <c r="A34" t="str">
        <f>IF(ALL!A19&gt;0,ALL!A19,"")</f>
        <v>Plan</v>
      </c>
      <c r="B34">
        <f>IF(ALL!C19&gt;0,ALL!C19,"")</f>
        <v>6</v>
      </c>
      <c r="C34">
        <f>IF(ALL!D19&gt;0,ALL!D19,"")</f>
        <v>8</v>
      </c>
      <c r="D34">
        <f>IF(ALL!E19&gt;0,ALL!E19,"")</f>
        <v>10</v>
      </c>
      <c r="E34">
        <f>IF(ALL!F19&gt;0,ALL!F19,"")</f>
        <v>10</v>
      </c>
      <c r="F34">
        <f>IF(ALL!G19&gt;0,ALL!G19,"")</f>
        <v>12</v>
      </c>
      <c r="G34">
        <f>IF(ALL!H19&gt;0,ALL!H19,"")</f>
        <v>14</v>
      </c>
      <c r="H34">
        <f>IF(ALL!I19&gt;0,ALL!I19,"")</f>
        <v>15</v>
      </c>
      <c r="I34">
        <f>IF(ALL!J19&gt;0,ALL!J19,"")</f>
        <v>15</v>
      </c>
      <c r="J34">
        <f>IF(ALL!K19&gt;0,ALL!K19,"")</f>
        <v>16</v>
      </c>
      <c r="K34">
        <f>IF(ALL!L19&gt;0,ALL!L19,"")</f>
        <v>12</v>
      </c>
      <c r="L34">
        <f>IF(ALL!M19&gt;0,ALL!M19,"")</f>
        <v>12</v>
      </c>
      <c r="M34">
        <f>IF(ALL!N19&gt;0,ALL!N19,"")</f>
        <v>12</v>
      </c>
      <c r="N34">
        <f>IF(ALL!O19&gt;0,ALL!O19,"")</f>
        <v>7</v>
      </c>
      <c r="O34">
        <f>IF(ALL!P19&gt;0,ALL!P19,"")</f>
        <v>7</v>
      </c>
      <c r="P34">
        <f>IF(ALL!Q19&gt;0,ALL!Q19,"")</f>
        <v>7</v>
      </c>
    </row>
    <row r="41" spans="1:16" x14ac:dyDescent="0.2">
      <c r="B41" t="str">
        <f>IF(ALL!C31&gt;0,ALL!C31,"")</f>
        <v>Q1</v>
      </c>
      <c r="C41" t="str">
        <f>IF(ALL!D31&gt;0,ALL!D31,"")</f>
        <v>Q2</v>
      </c>
      <c r="D41" t="str">
        <f>IF(ALL!E31&gt;0,ALL!E31,"")</f>
        <v>Q3</v>
      </c>
      <c r="E41" t="str">
        <f>IF(ALL!F31&gt;0,ALL!F31,"")</f>
        <v>Q4</v>
      </c>
      <c r="F41" t="str">
        <f>IF(ALL!G31&gt;0,ALL!G31,"")</f>
        <v>Q1'27</v>
      </c>
    </row>
    <row r="42" spans="1:16" x14ac:dyDescent="0.2">
      <c r="A42" t="str">
        <f>IF(ALL!B32&gt;0,ALL!B32,"")</f>
        <v>Staff</v>
      </c>
      <c r="B42">
        <f>IF(ALL!C32&gt;0,ALL!C32,"")</f>
        <v>149</v>
      </c>
      <c r="C42">
        <f>IF(ALL!D32&gt;0,ALL!D32,"")</f>
        <v>150</v>
      </c>
      <c r="D42">
        <f>IF(ALL!E32&gt;0,ALL!E32,"")</f>
        <v>149</v>
      </c>
      <c r="E42">
        <f>IF(ALL!F32&gt;0,ALL!F32,"")</f>
        <v>149</v>
      </c>
      <c r="F42">
        <f>IF(ALL!G32&gt;0,ALL!G32,"")</f>
        <v>149</v>
      </c>
    </row>
    <row r="43" spans="1:16" x14ac:dyDescent="0.2">
      <c r="A43" t="str">
        <f>IF(ALL!B33&gt;0,ALL!B33,"")</f>
        <v>Staff AVG</v>
      </c>
      <c r="B43">
        <f>IF(ALL!C33&gt;0,ALL!C33,"")</f>
        <v>149</v>
      </c>
      <c r="C43">
        <f>IF(ALL!D33&gt;0,ALL!D33,"")</f>
        <v>149</v>
      </c>
      <c r="D43">
        <f>IF(ALL!E33&gt;0,ALL!E33,"")</f>
        <v>149</v>
      </c>
      <c r="E43">
        <f>IF(ALL!F33&gt;0,ALL!F33,"")</f>
        <v>149</v>
      </c>
      <c r="F43">
        <f>IF(ALL!G33&gt;0,ALL!G33,"")</f>
        <v>149</v>
      </c>
    </row>
    <row r="44" spans="1:16" x14ac:dyDescent="0.2">
      <c r="A44" t="str">
        <f>IF(ALL!B34&gt;0,ALL!B34,"")</f>
        <v>Plan</v>
      </c>
      <c r="B44">
        <f>IF(ALL!C34&gt;0,ALL!C34,"")</f>
        <v>138</v>
      </c>
      <c r="C44">
        <f>IF(ALL!D34&gt;0,ALL!D34,"")</f>
        <v>145</v>
      </c>
      <c r="D44">
        <f>IF(ALL!E34&gt;0,ALL!E34,"")</f>
        <v>140</v>
      </c>
      <c r="E44">
        <f>IF(ALL!F34&gt;0,ALL!F34,"")</f>
        <v>130</v>
      </c>
      <c r="F44">
        <f>IF(ALL!G34&gt;0,ALL!G34,"")</f>
        <v>121</v>
      </c>
    </row>
    <row r="45" spans="1:16" x14ac:dyDescent="0.2">
      <c r="A45" t="str">
        <f>IF(ALL!B41&gt;0,ALL!B41,"")</f>
        <v>PAYROLL</v>
      </c>
      <c r="B45">
        <f>IF(ALL!C41&gt;0,ALL!C41,"")</f>
        <v>109</v>
      </c>
      <c r="C45">
        <f>IF(ALL!D41&gt;0,ALL!D41,"")</f>
        <v>112</v>
      </c>
      <c r="D45">
        <f>IF(ALL!E41&gt;0,ALL!E41,"")</f>
        <v>105</v>
      </c>
      <c r="E45">
        <f>IF(ALL!F41&gt;0,ALL!F41,"")</f>
        <v>99</v>
      </c>
      <c r="F45">
        <f>IF(ALL!G41&gt;0,ALL!G41,"")</f>
        <v>93</v>
      </c>
    </row>
    <row r="46" spans="1:16" x14ac:dyDescent="0.2">
      <c r="A46" t="str">
        <f>IF(ALL!B45&gt;0,ALL!B45,"")</f>
        <v>CONTRACTOR</v>
      </c>
      <c r="B46">
        <f>IF(ALL!C45&gt;0,ALL!C45,"")</f>
        <v>21</v>
      </c>
      <c r="C46">
        <f>IF(ALL!D45&gt;0,ALL!D45,"")</f>
        <v>21</v>
      </c>
      <c r="D46">
        <f>IF(ALL!E45&gt;0,ALL!E45,"")</f>
        <v>20</v>
      </c>
      <c r="E46">
        <f>IF(ALL!F45&gt;0,ALL!F45,"")</f>
        <v>19</v>
      </c>
      <c r="F46">
        <f>IF(ALL!G45&gt;0,ALL!G45,"")</f>
        <v>18</v>
      </c>
    </row>
    <row r="47" spans="1:16" x14ac:dyDescent="0.2">
      <c r="A47" t="str">
        <f>IF(ALL!B49&gt;0,ALL!B49,"")</f>
        <v>OUTSOURCE</v>
      </c>
      <c r="B47">
        <f>IF(ALL!C49&gt;0,ALL!C49,"")</f>
        <v>8</v>
      </c>
      <c r="C47">
        <f>IF(ALL!D49&gt;0,ALL!D49,"")</f>
        <v>12</v>
      </c>
      <c r="D47">
        <f>IF(ALL!E49&gt;0,ALL!E49,"")</f>
        <v>15</v>
      </c>
      <c r="E47">
        <f>IF(ALL!F49&gt;0,ALL!F49,"")</f>
        <v>12</v>
      </c>
      <c r="F47">
        <f>IF(ALL!G49&gt;0,ALL!G49,"")</f>
        <v>11</v>
      </c>
    </row>
    <row r="151" spans="1:16" x14ac:dyDescent="0.2">
      <c r="B151" t="str">
        <f>ALL!C1</f>
        <v>JAN</v>
      </c>
      <c r="C151" t="str">
        <f>ALL!D1</f>
        <v>FEB</v>
      </c>
      <c r="D151" t="str">
        <f>ALL!E1</f>
        <v>MAR</v>
      </c>
      <c r="E151" t="str">
        <f>ALL!F1</f>
        <v>APR</v>
      </c>
      <c r="F151" t="str">
        <f>ALL!G1</f>
        <v>MAY</v>
      </c>
      <c r="G151" t="str">
        <f>ALL!H1</f>
        <v>JUN</v>
      </c>
      <c r="H151" t="str">
        <f>ALL!I1</f>
        <v>JUL</v>
      </c>
      <c r="I151" t="str">
        <f>ALL!J1</f>
        <v>AUG</v>
      </c>
      <c r="J151" t="str">
        <f>ALL!K1</f>
        <v>SEP</v>
      </c>
      <c r="K151" t="str">
        <f>ALL!L1</f>
        <v>OCT</v>
      </c>
      <c r="L151" t="str">
        <f>ALL!M1</f>
        <v>NOV</v>
      </c>
      <c r="M151" t="str">
        <f>ALL!N1</f>
        <v>DEC</v>
      </c>
      <c r="N151" t="str">
        <f>ALL!O1</f>
        <v>JAN'27</v>
      </c>
      <c r="O151" t="str">
        <f>ALL!P1</f>
        <v>FEB'27</v>
      </c>
      <c r="P151" t="str">
        <f>ALL!Q1</f>
        <v>MAR'27</v>
      </c>
    </row>
    <row r="152" spans="1:16" x14ac:dyDescent="0.2">
      <c r="A152" t="str">
        <f>ALL!B6</f>
        <v>% Plan</v>
      </c>
      <c r="B152" s="62">
        <f>ALL!C6</f>
        <v>0.88260000000000005</v>
      </c>
      <c r="C152" s="62">
        <f>ALL!D6</f>
        <v>0.93620000000000003</v>
      </c>
      <c r="D152" s="62">
        <f>ALL!E6</f>
        <v>0.95589999999999997</v>
      </c>
      <c r="E152" s="62">
        <f>ALL!F6</f>
        <v>0.94789999999999996</v>
      </c>
      <c r="F152" s="62">
        <f>ALL!G6</f>
        <v>0.97919999999999996</v>
      </c>
      <c r="G152" s="62">
        <f>ALL!H6</f>
        <v>0.95830000000000004</v>
      </c>
      <c r="H152" s="62">
        <f>ALL!I6</f>
        <v>0.95909999999999995</v>
      </c>
      <c r="I152" s="62">
        <f>ALL!J6</f>
        <v>0.93759999999999999</v>
      </c>
      <c r="J152" s="62">
        <f>ALL!K6</f>
        <v>0.93179999999999996</v>
      </c>
      <c r="K152" s="62">
        <f>ALL!L6</f>
        <v>0.88370000000000004</v>
      </c>
      <c r="L152" s="62">
        <f>ALL!M6</f>
        <v>0.87409999999999999</v>
      </c>
      <c r="M152" s="62">
        <f>ALL!N6</f>
        <v>0.86939999999999995</v>
      </c>
      <c r="N152" s="62">
        <f>ALL!O6</f>
        <v>0.70230000000000004</v>
      </c>
      <c r="O152" s="62">
        <f>ALL!P6</f>
        <v>0.70020000000000004</v>
      </c>
      <c r="P152" s="62">
        <f>ALL!Q6</f>
        <v>0.70020000000000004</v>
      </c>
    </row>
    <row r="153" spans="1:16" x14ac:dyDescent="0.2">
      <c r="A153" t="str">
        <f>ALL!B7</f>
        <v>Available FTE</v>
      </c>
      <c r="B153">
        <f>ALL!C7</f>
        <v>17</v>
      </c>
      <c r="C153">
        <f>ALL!D7</f>
        <v>10</v>
      </c>
      <c r="D153">
        <f>ALL!E7</f>
        <v>7</v>
      </c>
      <c r="E153">
        <f>ALL!F7</f>
        <v>8</v>
      </c>
      <c r="F153">
        <f>ALL!G7</f>
        <v>3</v>
      </c>
      <c r="G153">
        <f>ALL!H7</f>
        <v>6</v>
      </c>
      <c r="H153">
        <f>ALL!I7</f>
        <v>6</v>
      </c>
      <c r="I153">
        <f>ALL!J7</f>
        <v>9</v>
      </c>
      <c r="J153">
        <f>ALL!K7</f>
        <v>10</v>
      </c>
      <c r="K153">
        <f>ALL!L7</f>
        <v>17</v>
      </c>
      <c r="L153">
        <f>ALL!M7</f>
        <v>19</v>
      </c>
      <c r="M153">
        <f>ALL!N7</f>
        <v>19</v>
      </c>
      <c r="N153">
        <f>ALL!O7</f>
        <v>44</v>
      </c>
      <c r="O153">
        <f>ALL!P7</f>
        <v>45</v>
      </c>
      <c r="P153">
        <f>ALL!Q7</f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1181-445D-3746-9BD8-A2C1C6213A7C}">
  <sheetPr>
    <tabColor theme="5"/>
  </sheetPr>
  <dimension ref="A1:Q69"/>
  <sheetViews>
    <sheetView workbookViewId="0">
      <pane ySplit="1" topLeftCell="A2" activePane="bottomLeft" state="frozen"/>
      <selection pane="bottomLeft" activeCell="C3" sqref="C3:Q3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31</v>
      </c>
      <c r="B2" s="7" t="s">
        <v>16</v>
      </c>
      <c r="C2" s="8">
        <v>18</v>
      </c>
      <c r="D2" s="8">
        <v>18</v>
      </c>
      <c r="E2" s="8">
        <v>18</v>
      </c>
      <c r="F2" s="8">
        <v>17</v>
      </c>
      <c r="G2" s="8">
        <v>17</v>
      </c>
      <c r="H2" s="8">
        <v>17</v>
      </c>
      <c r="I2" s="8">
        <v>17</v>
      </c>
      <c r="J2" s="8">
        <v>17</v>
      </c>
      <c r="K2" s="8">
        <v>17</v>
      </c>
      <c r="L2" s="8">
        <v>17</v>
      </c>
      <c r="M2" s="8">
        <v>17</v>
      </c>
      <c r="N2" s="8">
        <v>17</v>
      </c>
      <c r="O2" s="8">
        <v>17</v>
      </c>
      <c r="P2" s="8">
        <v>17</v>
      </c>
      <c r="Q2" s="8">
        <v>17</v>
      </c>
    </row>
    <row r="3" spans="1:17" x14ac:dyDescent="0.2">
      <c r="A3" s="12" t="s">
        <v>31</v>
      </c>
      <c r="B3" s="9" t="s">
        <v>17</v>
      </c>
      <c r="C3" s="8">
        <v>17</v>
      </c>
      <c r="D3" s="8">
        <v>17</v>
      </c>
      <c r="E3" s="8">
        <v>17</v>
      </c>
      <c r="F3" s="8">
        <v>17</v>
      </c>
      <c r="G3" s="8">
        <v>17</v>
      </c>
      <c r="H3" s="8">
        <v>17</v>
      </c>
      <c r="I3" s="8">
        <v>17</v>
      </c>
      <c r="J3" s="8">
        <v>17</v>
      </c>
      <c r="K3" s="8">
        <v>17</v>
      </c>
      <c r="L3" s="8">
        <v>17</v>
      </c>
      <c r="M3" s="8">
        <v>17</v>
      </c>
      <c r="N3" s="8">
        <v>17</v>
      </c>
      <c r="O3" s="8">
        <v>17</v>
      </c>
      <c r="P3" s="8">
        <v>17</v>
      </c>
      <c r="Q3" s="8">
        <v>17</v>
      </c>
    </row>
    <row r="4" spans="1:17" x14ac:dyDescent="0.2">
      <c r="A4" s="13" t="s">
        <v>31</v>
      </c>
      <c r="B4" s="10" t="s">
        <v>18</v>
      </c>
      <c r="C4" s="8">
        <v>17</v>
      </c>
      <c r="D4" s="8">
        <v>17</v>
      </c>
      <c r="E4" s="8">
        <v>17</v>
      </c>
      <c r="F4" s="14">
        <v>17</v>
      </c>
      <c r="G4" s="14">
        <v>18</v>
      </c>
      <c r="H4" s="14">
        <v>17</v>
      </c>
      <c r="I4" s="8">
        <v>16</v>
      </c>
      <c r="J4" s="8">
        <v>16</v>
      </c>
      <c r="K4" s="8">
        <v>16</v>
      </c>
      <c r="L4" s="8">
        <v>16</v>
      </c>
      <c r="M4" s="8">
        <v>16</v>
      </c>
      <c r="N4" s="8">
        <v>16</v>
      </c>
      <c r="O4" s="8">
        <v>14</v>
      </c>
      <c r="P4" s="8">
        <v>14</v>
      </c>
      <c r="Q4" s="8">
        <v>14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0.93610000000000004</v>
      </c>
      <c r="D6" s="19">
        <v>0.94169999999999998</v>
      </c>
      <c r="E6" s="19">
        <v>0.92500000000000004</v>
      </c>
      <c r="F6" s="19">
        <v>1.0235000000000001</v>
      </c>
      <c r="G6" s="19">
        <v>1.0294000000000001</v>
      </c>
      <c r="H6" s="19">
        <v>1.0235000000000001</v>
      </c>
      <c r="I6" s="19">
        <v>0.95289999999999997</v>
      </c>
      <c r="J6" s="19">
        <v>0.94120000000000004</v>
      </c>
      <c r="K6" s="19">
        <v>0.94120000000000004</v>
      </c>
      <c r="L6" s="19">
        <v>0.93530000000000002</v>
      </c>
      <c r="M6" s="19">
        <v>0.92349999999999999</v>
      </c>
      <c r="N6" s="19">
        <v>0.92349999999999999</v>
      </c>
      <c r="O6" s="19">
        <v>0.83530000000000004</v>
      </c>
      <c r="P6" s="19">
        <v>0.83530000000000004</v>
      </c>
      <c r="Q6" s="19">
        <v>0.83530000000000004</v>
      </c>
    </row>
    <row r="7" spans="1:17" x14ac:dyDescent="0.2">
      <c r="A7" s="17"/>
      <c r="B7" s="18" t="s">
        <v>24</v>
      </c>
      <c r="C7" s="20">
        <v>1</v>
      </c>
      <c r="D7" s="20">
        <v>1</v>
      </c>
      <c r="E7" s="20">
        <v>1</v>
      </c>
      <c r="F7" s="20">
        <v>0</v>
      </c>
      <c r="G7" s="20">
        <v>0</v>
      </c>
      <c r="H7" s="20">
        <v>0</v>
      </c>
      <c r="I7" s="20">
        <v>1</v>
      </c>
      <c r="J7" s="20">
        <v>1</v>
      </c>
      <c r="K7" s="20">
        <v>1</v>
      </c>
      <c r="L7" s="20">
        <v>1</v>
      </c>
      <c r="M7" s="20">
        <v>1</v>
      </c>
      <c r="N7" s="20">
        <v>1</v>
      </c>
      <c r="O7" s="20">
        <v>3</v>
      </c>
      <c r="P7" s="20">
        <v>3</v>
      </c>
      <c r="Q7" s="20">
        <v>3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18</v>
      </c>
      <c r="D9" s="8">
        <v>18</v>
      </c>
      <c r="E9" s="8">
        <v>18</v>
      </c>
      <c r="F9" s="8">
        <v>17</v>
      </c>
      <c r="G9" s="8">
        <v>17</v>
      </c>
      <c r="H9" s="8">
        <v>17</v>
      </c>
      <c r="I9" s="8">
        <v>17</v>
      </c>
      <c r="J9" s="8">
        <v>17</v>
      </c>
      <c r="K9" s="8">
        <v>17</v>
      </c>
      <c r="L9" s="8">
        <v>17</v>
      </c>
      <c r="M9" s="8">
        <v>17</v>
      </c>
      <c r="N9" s="8">
        <v>17</v>
      </c>
      <c r="O9" s="8">
        <v>17</v>
      </c>
      <c r="P9" s="8">
        <v>17</v>
      </c>
      <c r="Q9" s="8">
        <v>17</v>
      </c>
    </row>
    <row r="10" spans="1:17" x14ac:dyDescent="0.2">
      <c r="A10" s="9" t="s">
        <v>17</v>
      </c>
      <c r="B10" s="12" t="s">
        <v>19</v>
      </c>
      <c r="C10" s="8">
        <v>17</v>
      </c>
      <c r="D10" s="8">
        <v>17</v>
      </c>
      <c r="E10" s="8">
        <v>17</v>
      </c>
      <c r="F10" s="8">
        <v>17</v>
      </c>
      <c r="G10" s="8">
        <v>17</v>
      </c>
      <c r="H10" s="8">
        <v>17</v>
      </c>
      <c r="I10" s="8">
        <v>17</v>
      </c>
      <c r="J10" s="8">
        <v>17</v>
      </c>
      <c r="K10" s="8">
        <v>17</v>
      </c>
      <c r="L10" s="8">
        <v>17</v>
      </c>
      <c r="M10" s="8">
        <v>17</v>
      </c>
      <c r="N10" s="8">
        <v>17</v>
      </c>
      <c r="O10" s="8">
        <v>17</v>
      </c>
      <c r="P10" s="8">
        <v>17</v>
      </c>
      <c r="Q10" s="8">
        <v>17</v>
      </c>
    </row>
    <row r="11" spans="1:17" x14ac:dyDescent="0.2">
      <c r="A11" s="16" t="s">
        <v>18</v>
      </c>
      <c r="B11" s="13" t="s">
        <v>19</v>
      </c>
      <c r="C11" s="8">
        <v>17</v>
      </c>
      <c r="D11" s="8">
        <v>17</v>
      </c>
      <c r="E11" s="8">
        <v>17</v>
      </c>
      <c r="F11" s="14">
        <v>17</v>
      </c>
      <c r="G11" s="14">
        <v>18</v>
      </c>
      <c r="H11" s="14">
        <v>17</v>
      </c>
      <c r="I11" s="8">
        <v>16</v>
      </c>
      <c r="J11" s="8">
        <v>16</v>
      </c>
      <c r="K11" s="8">
        <v>16</v>
      </c>
      <c r="L11" s="8">
        <v>16</v>
      </c>
      <c r="M11" s="8">
        <v>16</v>
      </c>
      <c r="N11" s="8">
        <v>16</v>
      </c>
      <c r="O11" s="8">
        <v>14</v>
      </c>
      <c r="P11" s="8">
        <v>14</v>
      </c>
      <c r="Q11" s="8">
        <v>14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30</v>
      </c>
      <c r="B13" s="11" t="s">
        <v>20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</row>
    <row r="14" spans="1:17" x14ac:dyDescent="0.2">
      <c r="A14" s="9" t="s">
        <v>17</v>
      </c>
      <c r="B14" s="12" t="s">
        <v>20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</row>
    <row r="15" spans="1:17" x14ac:dyDescent="0.2">
      <c r="A15" s="16">
        <v>0</v>
      </c>
      <c r="B15" s="13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30</v>
      </c>
      <c r="B17" s="11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</row>
    <row r="18" spans="1:17" x14ac:dyDescent="0.2">
      <c r="A18" s="9" t="s">
        <v>17</v>
      </c>
      <c r="B18" s="12" t="s">
        <v>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x14ac:dyDescent="0.2">
      <c r="A19" s="16">
        <v>0</v>
      </c>
      <c r="B19" s="13" t="s">
        <v>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31</v>
      </c>
      <c r="B32" s="7" t="s">
        <v>16</v>
      </c>
      <c r="C32" s="26">
        <v>18</v>
      </c>
      <c r="D32" s="21">
        <v>17</v>
      </c>
      <c r="E32" s="21">
        <v>17</v>
      </c>
      <c r="F32" s="21">
        <v>17</v>
      </c>
      <c r="G32" s="21">
        <v>17</v>
      </c>
    </row>
    <row r="33" spans="1:7" x14ac:dyDescent="0.2">
      <c r="A33" s="12" t="s">
        <v>31</v>
      </c>
      <c r="B33" s="9" t="s">
        <v>17</v>
      </c>
      <c r="C33" s="26">
        <v>17</v>
      </c>
      <c r="D33" s="21">
        <v>17</v>
      </c>
      <c r="E33" s="21">
        <v>17</v>
      </c>
      <c r="F33" s="21">
        <v>17</v>
      </c>
      <c r="G33" s="21">
        <v>17</v>
      </c>
    </row>
    <row r="34" spans="1:7" x14ac:dyDescent="0.2">
      <c r="A34" s="13" t="s">
        <v>31</v>
      </c>
      <c r="B34" s="10" t="s">
        <v>18</v>
      </c>
      <c r="C34" s="26">
        <v>17</v>
      </c>
      <c r="D34" s="14">
        <v>17</v>
      </c>
      <c r="E34" s="21">
        <v>16</v>
      </c>
      <c r="F34" s="21">
        <v>16</v>
      </c>
      <c r="G34" s="21">
        <v>15</v>
      </c>
    </row>
    <row r="35" spans="1:7" x14ac:dyDescent="0.2">
      <c r="A35" s="17"/>
      <c r="B35" s="8"/>
      <c r="C35" s="27">
        <v>6.5699999999999995E-2</v>
      </c>
      <c r="D35" s="28">
        <v>-2.5499999999999998E-2</v>
      </c>
      <c r="E35" s="28">
        <v>5.4899999999999997E-2</v>
      </c>
      <c r="F35" s="28">
        <v>7.2499999999999995E-2</v>
      </c>
      <c r="G35" s="28">
        <v>0.10589999999999999</v>
      </c>
    </row>
    <row r="36" spans="1:7" x14ac:dyDescent="0.2">
      <c r="A36" s="8"/>
      <c r="B36" s="18" t="s">
        <v>23</v>
      </c>
      <c r="C36" s="29">
        <v>0.93430000000000002</v>
      </c>
      <c r="D36" s="19">
        <v>1.0255000000000001</v>
      </c>
      <c r="E36" s="19">
        <v>0.94510000000000005</v>
      </c>
      <c r="F36" s="19">
        <v>0.92749999999999999</v>
      </c>
      <c r="G36" s="19">
        <v>0.89410000000000001</v>
      </c>
    </row>
    <row r="37" spans="1:7" x14ac:dyDescent="0.2">
      <c r="A37" s="17"/>
      <c r="B37" s="18" t="s">
        <v>24</v>
      </c>
      <c r="C37" s="30">
        <v>1</v>
      </c>
      <c r="D37" s="20">
        <v>0</v>
      </c>
      <c r="E37" s="20">
        <v>1</v>
      </c>
      <c r="F37" s="20">
        <v>1</v>
      </c>
      <c r="G37" s="20">
        <v>2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18</v>
      </c>
      <c r="D39" s="21">
        <v>17</v>
      </c>
      <c r="E39" s="21">
        <v>17</v>
      </c>
      <c r="F39" s="21">
        <v>17</v>
      </c>
      <c r="G39" s="21">
        <v>17</v>
      </c>
    </row>
    <row r="40" spans="1:7" x14ac:dyDescent="0.2">
      <c r="A40" s="9" t="s">
        <v>17</v>
      </c>
      <c r="B40" s="12" t="s">
        <v>19</v>
      </c>
      <c r="C40" s="26">
        <v>17</v>
      </c>
      <c r="D40" s="21">
        <v>17</v>
      </c>
      <c r="E40" s="21">
        <v>17</v>
      </c>
      <c r="F40" s="21">
        <v>17</v>
      </c>
      <c r="G40" s="21">
        <v>17</v>
      </c>
    </row>
    <row r="41" spans="1:7" x14ac:dyDescent="0.2">
      <c r="A41" s="16" t="s">
        <v>18</v>
      </c>
      <c r="B41" s="13" t="s">
        <v>19</v>
      </c>
      <c r="C41" s="26">
        <v>17</v>
      </c>
      <c r="D41" s="14">
        <v>17</v>
      </c>
      <c r="E41" s="21">
        <v>16</v>
      </c>
      <c r="F41" s="21">
        <v>16</v>
      </c>
      <c r="G41" s="21">
        <v>15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30</v>
      </c>
      <c r="B43" s="11" t="s">
        <v>20</v>
      </c>
      <c r="C43" s="26">
        <v>0</v>
      </c>
      <c r="D43" s="21">
        <v>0</v>
      </c>
      <c r="E43" s="21">
        <v>0</v>
      </c>
      <c r="F43" s="21">
        <v>0</v>
      </c>
      <c r="G43" s="21">
        <v>0</v>
      </c>
    </row>
    <row r="44" spans="1:7" x14ac:dyDescent="0.2">
      <c r="A44" s="9" t="s">
        <v>17</v>
      </c>
      <c r="B44" s="12" t="s">
        <v>20</v>
      </c>
      <c r="C44" s="26">
        <v>0</v>
      </c>
      <c r="D44" s="21">
        <v>0</v>
      </c>
      <c r="E44" s="21">
        <v>0</v>
      </c>
      <c r="F44" s="21">
        <v>0</v>
      </c>
      <c r="G44" s="21">
        <v>0</v>
      </c>
    </row>
    <row r="45" spans="1:7" x14ac:dyDescent="0.2">
      <c r="A45" s="16">
        <v>0</v>
      </c>
      <c r="B45" s="13" t="s">
        <v>20</v>
      </c>
      <c r="C45" s="26">
        <v>0</v>
      </c>
      <c r="D45" s="21">
        <v>0</v>
      </c>
      <c r="E45" s="21">
        <v>0</v>
      </c>
      <c r="F45" s="21">
        <v>0</v>
      </c>
      <c r="G45" s="21">
        <v>0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30</v>
      </c>
      <c r="B47" s="11" t="s">
        <v>21</v>
      </c>
      <c r="C47" s="26">
        <v>0</v>
      </c>
      <c r="D47" s="21">
        <v>0</v>
      </c>
      <c r="E47" s="21">
        <v>0</v>
      </c>
      <c r="F47" s="21">
        <v>0</v>
      </c>
      <c r="G47" s="21">
        <v>0</v>
      </c>
    </row>
    <row r="48" spans="1:7" x14ac:dyDescent="0.2">
      <c r="A48" s="9" t="s">
        <v>17</v>
      </c>
      <c r="B48" s="12" t="s">
        <v>21</v>
      </c>
      <c r="C48" s="26">
        <v>0</v>
      </c>
      <c r="D48" s="21">
        <v>0</v>
      </c>
      <c r="E48" s="21">
        <v>0</v>
      </c>
      <c r="F48" s="21">
        <v>0</v>
      </c>
      <c r="G48" s="21">
        <v>0</v>
      </c>
    </row>
    <row r="49" spans="1:17" x14ac:dyDescent="0.2">
      <c r="A49" s="16">
        <v>0</v>
      </c>
      <c r="B49" s="13" t="s">
        <v>21</v>
      </c>
      <c r="C49" s="26">
        <v>0</v>
      </c>
      <c r="D49" s="21">
        <v>0</v>
      </c>
      <c r="E49" s="21">
        <v>0</v>
      </c>
      <c r="F49" s="21">
        <v>0</v>
      </c>
      <c r="G49" s="21">
        <v>0</v>
      </c>
    </row>
    <row r="61" spans="1:17" x14ac:dyDescent="0.2">
      <c r="A61" s="33" t="s">
        <v>35</v>
      </c>
      <c r="B61" s="34"/>
      <c r="C61" s="3" t="s">
        <v>1</v>
      </c>
      <c r="D61" s="3" t="s">
        <v>2</v>
      </c>
      <c r="E61" s="3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9" t="s">
        <v>16</v>
      </c>
      <c r="C62" s="35">
        <v>18</v>
      </c>
      <c r="D62" s="35">
        <v>18</v>
      </c>
      <c r="E62" s="35">
        <v>18</v>
      </c>
      <c r="F62" s="35">
        <v>17</v>
      </c>
      <c r="G62" s="35">
        <v>17</v>
      </c>
      <c r="H62" s="35">
        <v>17</v>
      </c>
      <c r="I62" s="35">
        <v>17</v>
      </c>
      <c r="J62" s="35">
        <v>17</v>
      </c>
      <c r="K62" s="35">
        <v>17</v>
      </c>
      <c r="L62" s="35">
        <v>17</v>
      </c>
      <c r="M62" s="35">
        <v>17</v>
      </c>
      <c r="N62" s="35">
        <v>17</v>
      </c>
      <c r="O62" s="35">
        <v>17</v>
      </c>
      <c r="P62" s="35">
        <v>17</v>
      </c>
      <c r="Q62" s="35">
        <v>17</v>
      </c>
    </row>
    <row r="63" spans="1:17" x14ac:dyDescent="0.2">
      <c r="A63" s="36"/>
      <c r="B63" s="37" t="s">
        <v>18</v>
      </c>
      <c r="C63" s="38">
        <v>16.850000000000001</v>
      </c>
      <c r="D63" s="38">
        <v>16.95</v>
      </c>
      <c r="E63" s="38">
        <v>16.649999999999999</v>
      </c>
      <c r="F63" s="38">
        <v>17.399999999999999</v>
      </c>
      <c r="G63" s="38">
        <v>17.5</v>
      </c>
      <c r="H63" s="38">
        <v>17.399999999999999</v>
      </c>
      <c r="I63" s="38">
        <v>16.2</v>
      </c>
      <c r="J63" s="38">
        <v>16</v>
      </c>
      <c r="K63" s="38">
        <v>16</v>
      </c>
      <c r="L63" s="38">
        <v>15.9</v>
      </c>
      <c r="M63" s="38">
        <v>15.7</v>
      </c>
      <c r="N63" s="38">
        <v>15.7</v>
      </c>
      <c r="O63" s="38">
        <v>14.2</v>
      </c>
      <c r="P63" s="38">
        <v>14.2</v>
      </c>
      <c r="Q63" s="38">
        <v>14.2</v>
      </c>
    </row>
    <row r="64" spans="1:17" x14ac:dyDescent="0.2">
      <c r="A64" s="15" t="s">
        <v>36</v>
      </c>
      <c r="B64" s="7" t="s">
        <v>16</v>
      </c>
      <c r="C64" s="15">
        <v>1</v>
      </c>
      <c r="D64" s="15">
        <v>1</v>
      </c>
      <c r="E64" s="15">
        <v>1</v>
      </c>
      <c r="F64" s="15">
        <v>1</v>
      </c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5">
        <v>1</v>
      </c>
      <c r="M64" s="15">
        <v>1</v>
      </c>
      <c r="N64" s="15">
        <v>1</v>
      </c>
      <c r="O64" s="15">
        <v>1</v>
      </c>
      <c r="P64" s="15">
        <v>1</v>
      </c>
      <c r="Q64" s="15">
        <v>1</v>
      </c>
    </row>
    <row r="65" spans="1:17" x14ac:dyDescent="0.2">
      <c r="A65" s="39" t="s">
        <v>36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15" t="s">
        <v>37</v>
      </c>
      <c r="B66" s="7" t="s">
        <v>16</v>
      </c>
      <c r="C66" s="15">
        <v>12</v>
      </c>
      <c r="D66" s="15">
        <v>12</v>
      </c>
      <c r="E66" s="15">
        <v>12</v>
      </c>
      <c r="F66" s="15">
        <v>11</v>
      </c>
      <c r="G66" s="15">
        <v>11</v>
      </c>
      <c r="H66" s="15">
        <v>11</v>
      </c>
      <c r="I66" s="15">
        <v>11</v>
      </c>
      <c r="J66" s="15">
        <v>11</v>
      </c>
      <c r="K66" s="15">
        <v>11</v>
      </c>
      <c r="L66" s="15">
        <v>11</v>
      </c>
      <c r="M66" s="15">
        <v>11</v>
      </c>
      <c r="N66" s="15">
        <v>11</v>
      </c>
      <c r="O66" s="15">
        <v>11</v>
      </c>
      <c r="P66" s="15">
        <v>11</v>
      </c>
      <c r="Q66" s="15">
        <v>11</v>
      </c>
    </row>
    <row r="67" spans="1:17" x14ac:dyDescent="0.2">
      <c r="A67" s="39" t="s">
        <v>37</v>
      </c>
      <c r="B67" s="10" t="s">
        <v>18</v>
      </c>
      <c r="C67" s="8">
        <v>11.25</v>
      </c>
      <c r="D67" s="8">
        <v>11.35</v>
      </c>
      <c r="E67" s="8">
        <v>11.05</v>
      </c>
      <c r="F67" s="8">
        <v>11.4</v>
      </c>
      <c r="G67" s="8">
        <v>11.5</v>
      </c>
      <c r="H67" s="8">
        <v>11.4</v>
      </c>
      <c r="I67" s="8">
        <v>10.199999999999999</v>
      </c>
      <c r="J67" s="8">
        <v>10</v>
      </c>
      <c r="K67" s="8">
        <v>10</v>
      </c>
      <c r="L67" s="8">
        <v>9.9</v>
      </c>
      <c r="M67" s="8">
        <v>9.6999999999999993</v>
      </c>
      <c r="N67" s="8">
        <v>9.6999999999999993</v>
      </c>
      <c r="O67" s="8">
        <v>8.1999999999999993</v>
      </c>
      <c r="P67" s="8">
        <v>8.1999999999999993</v>
      </c>
      <c r="Q67" s="8">
        <v>8.1999999999999993</v>
      </c>
    </row>
    <row r="68" spans="1:17" x14ac:dyDescent="0.2">
      <c r="A68" s="15" t="s">
        <v>38</v>
      </c>
      <c r="B68" s="7" t="s">
        <v>16</v>
      </c>
      <c r="C68" s="15">
        <v>5</v>
      </c>
      <c r="D68" s="15">
        <v>5</v>
      </c>
      <c r="E68" s="15">
        <v>5</v>
      </c>
      <c r="F68" s="15">
        <v>5</v>
      </c>
      <c r="G68" s="15">
        <v>5</v>
      </c>
      <c r="H68" s="15">
        <v>5</v>
      </c>
      <c r="I68" s="15">
        <v>5</v>
      </c>
      <c r="J68" s="15">
        <v>5</v>
      </c>
      <c r="K68" s="15">
        <v>5</v>
      </c>
      <c r="L68" s="15">
        <v>5</v>
      </c>
      <c r="M68" s="15">
        <v>5</v>
      </c>
      <c r="N68" s="15">
        <v>5</v>
      </c>
      <c r="O68" s="15">
        <v>5</v>
      </c>
      <c r="P68" s="15">
        <v>5</v>
      </c>
      <c r="Q68" s="15">
        <v>5</v>
      </c>
    </row>
    <row r="69" spans="1:17" x14ac:dyDescent="0.2">
      <c r="A69" s="39" t="s">
        <v>38</v>
      </c>
      <c r="B69" s="10" t="s">
        <v>18</v>
      </c>
      <c r="C69" s="8">
        <v>4.5999999999999996</v>
      </c>
      <c r="D69" s="8">
        <v>4.5999999999999996</v>
      </c>
      <c r="E69" s="8">
        <v>4.5999999999999996</v>
      </c>
      <c r="F69" s="8">
        <v>5</v>
      </c>
      <c r="G69" s="8">
        <v>5</v>
      </c>
      <c r="H69" s="8">
        <v>5</v>
      </c>
      <c r="I69" s="8">
        <v>5</v>
      </c>
      <c r="J69" s="8">
        <v>5</v>
      </c>
      <c r="K69" s="8">
        <v>5</v>
      </c>
      <c r="L69" s="8">
        <v>5</v>
      </c>
      <c r="M69" s="8">
        <v>5</v>
      </c>
      <c r="N69" s="8">
        <v>5</v>
      </c>
      <c r="O69" s="8">
        <v>5</v>
      </c>
      <c r="P69" s="8">
        <v>5</v>
      </c>
      <c r="Q69" s="8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85D5-E47B-3A4D-A324-92EE24F74B47}">
  <sheetPr>
    <tabColor theme="5" tint="0.79998168889431442"/>
  </sheetPr>
  <dimension ref="A1:P153"/>
  <sheetViews>
    <sheetView topLeftCell="A124" workbookViewId="0">
      <selection activeCell="A151" sqref="A151:XFD153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IF(CPS!C1&gt;0,CPS!C1,"")</f>
        <v>JAN</v>
      </c>
      <c r="C1" t="str">
        <f>IF(CPS!D1&gt;0,CPS!D1,"")</f>
        <v>FEB</v>
      </c>
      <c r="D1" t="str">
        <f>IF(CPS!E1&gt;0,CPS!E1,"")</f>
        <v>MAR</v>
      </c>
      <c r="E1" t="str">
        <f>IF(CPS!F1&gt;0,CPS!F1,"")</f>
        <v>APR</v>
      </c>
      <c r="F1" t="str">
        <f>IF(CPS!G1&gt;0,CPS!G1,"")</f>
        <v>MAY</v>
      </c>
      <c r="G1" t="str">
        <f>IF(CPS!H1&gt;0,CPS!H1,"")</f>
        <v>JUN</v>
      </c>
      <c r="H1" t="str">
        <f>IF(CPS!I1&gt;0,CPS!I1,"")</f>
        <v>JUL</v>
      </c>
      <c r="I1" t="str">
        <f>IF(CPS!J1&gt;0,CPS!J1,"")</f>
        <v>AUG</v>
      </c>
      <c r="J1" t="str">
        <f>IF(CPS!K1&gt;0,CPS!K1,"")</f>
        <v>SEP</v>
      </c>
      <c r="K1" t="str">
        <f>IF(CPS!L1&gt;0,CPS!L1,"")</f>
        <v>OCT</v>
      </c>
      <c r="L1" t="str">
        <f>IF(CPS!M1&gt;0,CPS!M1,"")</f>
        <v>NOV</v>
      </c>
      <c r="M1" t="str">
        <f>IF(CPS!N1&gt;0,CPS!N1,"")</f>
        <v>DEC</v>
      </c>
      <c r="N1" t="str">
        <f>IF(CPS!O1&gt;0,CPS!O1,"")</f>
        <v>JAN'27</v>
      </c>
      <c r="O1" t="str">
        <f>IF(CPS!P1&gt;0,CPS!P1,"")</f>
        <v>FEB'27</v>
      </c>
      <c r="P1" t="str">
        <f>IF(CPS!Q1&gt;0,CPS!Q1,"")</f>
        <v>MAR'27</v>
      </c>
    </row>
    <row r="2" spans="1:16" x14ac:dyDescent="0.2">
      <c r="A2" t="str">
        <f>IF(CPS!B2&gt;0,CPS!B2,"")</f>
        <v>Staff</v>
      </c>
      <c r="B2">
        <f>IF(CPS!C2&gt;0,CPS!C2,"")</f>
        <v>18</v>
      </c>
      <c r="C2">
        <f>IF(CPS!D2&gt;0,CPS!D2,"")</f>
        <v>18</v>
      </c>
      <c r="D2">
        <f>IF(CPS!E2&gt;0,CPS!E2,"")</f>
        <v>18</v>
      </c>
      <c r="E2">
        <f>IF(CPS!F2&gt;0,CPS!F2,"")</f>
        <v>17</v>
      </c>
      <c r="F2">
        <f>IF(CPS!G2&gt;0,CPS!G2,"")</f>
        <v>17</v>
      </c>
      <c r="G2">
        <f>IF(CPS!H2&gt;0,CPS!H2,"")</f>
        <v>17</v>
      </c>
      <c r="H2">
        <f>IF(CPS!I2&gt;0,CPS!I2,"")</f>
        <v>17</v>
      </c>
      <c r="I2">
        <f>IF(CPS!J2&gt;0,CPS!J2,"")</f>
        <v>17</v>
      </c>
      <c r="J2">
        <f>IF(CPS!K2&gt;0,CPS!K2,"")</f>
        <v>17</v>
      </c>
      <c r="K2">
        <f>IF(CPS!L2&gt;0,CPS!L2,"")</f>
        <v>17</v>
      </c>
      <c r="L2">
        <f>IF(CPS!M2&gt;0,CPS!M2,"")</f>
        <v>17</v>
      </c>
      <c r="M2">
        <f>IF(CPS!N2&gt;0,CPS!N2,"")</f>
        <v>17</v>
      </c>
      <c r="N2">
        <f>IF(CPS!O2&gt;0,CPS!O2,"")</f>
        <v>17</v>
      </c>
      <c r="O2">
        <f>IF(CPS!P2&gt;0,CPS!P2,"")</f>
        <v>17</v>
      </c>
      <c r="P2">
        <f>IF(CPS!Q2&gt;0,CPS!Q2,"")</f>
        <v>17</v>
      </c>
    </row>
    <row r="3" spans="1:16" x14ac:dyDescent="0.2">
      <c r="A3" t="str">
        <f>IF(CPS!B3&gt;0,CPS!B3,"")</f>
        <v>Staff AVG</v>
      </c>
      <c r="B3">
        <f>IF(CPS!C3&gt;0,CPS!C3,"")</f>
        <v>17</v>
      </c>
      <c r="C3">
        <f>IF(CPS!D3&gt;0,CPS!D3,"")</f>
        <v>17</v>
      </c>
      <c r="D3">
        <f>IF(CPS!E3&gt;0,CPS!E3,"")</f>
        <v>17</v>
      </c>
      <c r="E3">
        <f>IF(CPS!F3&gt;0,CPS!F3,"")</f>
        <v>17</v>
      </c>
      <c r="F3">
        <f>IF(CPS!G3&gt;0,CPS!G3,"")</f>
        <v>17</v>
      </c>
      <c r="G3">
        <f>IF(CPS!H3&gt;0,CPS!H3,"")</f>
        <v>17</v>
      </c>
      <c r="H3">
        <f>IF(CPS!I3&gt;0,CPS!I3,"")</f>
        <v>17</v>
      </c>
      <c r="I3">
        <f>IF(CPS!J3&gt;0,CPS!J3,"")</f>
        <v>17</v>
      </c>
      <c r="J3">
        <f>IF(CPS!K3&gt;0,CPS!K3,"")</f>
        <v>17</v>
      </c>
      <c r="K3">
        <f>IF(CPS!L3&gt;0,CPS!L3,"")</f>
        <v>17</v>
      </c>
      <c r="L3">
        <f>IF(CPS!M3&gt;0,CPS!M3,"")</f>
        <v>17</v>
      </c>
      <c r="M3">
        <f>IF(CPS!N3&gt;0,CPS!N3,"")</f>
        <v>17</v>
      </c>
      <c r="N3">
        <f>IF(CPS!O3&gt;0,CPS!O3,"")</f>
        <v>17</v>
      </c>
      <c r="O3">
        <f>IF(CPS!P3&gt;0,CPS!P3,"")</f>
        <v>17</v>
      </c>
      <c r="P3">
        <f>IF(CPS!Q3&gt;0,CPS!Q3,"")</f>
        <v>17</v>
      </c>
    </row>
    <row r="4" spans="1:16" x14ac:dyDescent="0.2">
      <c r="A4" t="str">
        <f>IF(CPS!B4&gt;0,CPS!B4,"")</f>
        <v>Plan</v>
      </c>
      <c r="B4">
        <f>IF(CPS!C4&gt;0,CPS!C4,"")</f>
        <v>17</v>
      </c>
      <c r="C4">
        <f>IF(CPS!D4&gt;0,CPS!D4,"")</f>
        <v>17</v>
      </c>
      <c r="D4">
        <f>IF(CPS!E4&gt;0,CPS!E4,"")</f>
        <v>17</v>
      </c>
      <c r="E4">
        <f>IF(CPS!F4&gt;0,CPS!F4,"")</f>
        <v>17</v>
      </c>
      <c r="F4">
        <f>IF(CPS!G4&gt;0,CPS!G4,"")</f>
        <v>18</v>
      </c>
      <c r="G4">
        <f>IF(CPS!H4&gt;0,CPS!H4,"")</f>
        <v>17</v>
      </c>
      <c r="H4">
        <f>IF(CPS!I4&gt;0,CPS!I4,"")</f>
        <v>16</v>
      </c>
      <c r="I4">
        <f>IF(CPS!J4&gt;0,CPS!J4,"")</f>
        <v>16</v>
      </c>
      <c r="J4">
        <f>IF(CPS!K4&gt;0,CPS!K4,"")</f>
        <v>16</v>
      </c>
      <c r="K4">
        <f>IF(CPS!L4&gt;0,CPS!L4,"")</f>
        <v>16</v>
      </c>
      <c r="L4">
        <f>IF(CPS!M4&gt;0,CPS!M4,"")</f>
        <v>16</v>
      </c>
      <c r="M4">
        <f>IF(CPS!N4&gt;0,CPS!N4,"")</f>
        <v>16</v>
      </c>
      <c r="N4">
        <f>IF(CPS!O4&gt;0,CPS!O4,"")</f>
        <v>14</v>
      </c>
      <c r="O4">
        <f>IF(CPS!P4&gt;0,CPS!P4,"")</f>
        <v>14</v>
      </c>
      <c r="P4">
        <f>IF(CPS!Q4&gt;0,CPS!Q4,"")</f>
        <v>14</v>
      </c>
    </row>
    <row r="5" spans="1:16" x14ac:dyDescent="0.2">
      <c r="A5" t="str">
        <f>IF(CPS!B11&gt;0,CPS!B11,"")</f>
        <v>PAYROLL</v>
      </c>
      <c r="B5">
        <f>IF(CPS!C11&gt;0,CPS!C11,"")</f>
        <v>17</v>
      </c>
      <c r="C5">
        <f>IF(CPS!D11&gt;0,CPS!D11,"")</f>
        <v>17</v>
      </c>
      <c r="D5">
        <f>IF(CPS!E11&gt;0,CPS!E11,"")</f>
        <v>17</v>
      </c>
      <c r="E5">
        <f>IF(CPS!F11&gt;0,CPS!F11,"")</f>
        <v>17</v>
      </c>
      <c r="F5">
        <f>IF(CPS!G11&gt;0,CPS!G11,"")</f>
        <v>18</v>
      </c>
      <c r="G5">
        <f>IF(CPS!H11&gt;0,CPS!H11,"")</f>
        <v>17</v>
      </c>
      <c r="H5">
        <f>IF(CPS!I11&gt;0,CPS!I11,"")</f>
        <v>16</v>
      </c>
      <c r="I5">
        <f>IF(CPS!J11&gt;0,CPS!J11,"")</f>
        <v>16</v>
      </c>
      <c r="J5">
        <f>IF(CPS!K11&gt;0,CPS!K11,"")</f>
        <v>16</v>
      </c>
      <c r="K5">
        <f>IF(CPS!L11&gt;0,CPS!L11,"")</f>
        <v>16</v>
      </c>
      <c r="L5">
        <f>IF(CPS!M11&gt;0,CPS!M11,"")</f>
        <v>16</v>
      </c>
      <c r="M5">
        <f>IF(CPS!N11&gt;0,CPS!N11,"")</f>
        <v>16</v>
      </c>
      <c r="N5">
        <f>IF(CPS!O11&gt;0,CPS!O11,"")</f>
        <v>14</v>
      </c>
      <c r="O5">
        <f>IF(CPS!P11&gt;0,CPS!P11,"")</f>
        <v>14</v>
      </c>
      <c r="P5">
        <f>IF(CPS!Q11&gt;0,CPS!Q11,"")</f>
        <v>14</v>
      </c>
    </row>
    <row r="6" spans="1:16" x14ac:dyDescent="0.2">
      <c r="A6" t="str">
        <f>IF(CPS!B15&gt;0,CPS!B15,"")</f>
        <v>CONTRACTOR</v>
      </c>
      <c r="B6" t="str">
        <f>IF(CPS!C15&gt;0,CPS!C15,"")</f>
        <v/>
      </c>
      <c r="C6" t="str">
        <f>IF(CPS!D15&gt;0,CPS!D15,"")</f>
        <v/>
      </c>
      <c r="D6" t="str">
        <f>IF(CPS!E15&gt;0,CPS!E15,"")</f>
        <v/>
      </c>
      <c r="E6" t="str">
        <f>IF(CPS!F15&gt;0,CPS!F15,"")</f>
        <v/>
      </c>
      <c r="F6" t="str">
        <f>IF(CPS!G15&gt;0,CPS!G15,"")</f>
        <v/>
      </c>
      <c r="G6" t="str">
        <f>IF(CPS!H15&gt;0,CPS!H15,"")</f>
        <v/>
      </c>
      <c r="H6" t="str">
        <f>IF(CPS!I15&gt;0,CPS!I15,"")</f>
        <v/>
      </c>
      <c r="I6" t="str">
        <f>IF(CPS!J15&gt;0,CPS!J15,"")</f>
        <v/>
      </c>
      <c r="J6" t="str">
        <f>IF(CPS!K15&gt;0,CPS!K15,"")</f>
        <v/>
      </c>
      <c r="K6" t="str">
        <f>IF(CPS!L15&gt;0,CPS!L15,"")</f>
        <v/>
      </c>
      <c r="L6" t="str">
        <f>IF(CPS!M15&gt;0,CPS!M15,"")</f>
        <v/>
      </c>
      <c r="M6" t="str">
        <f>IF(CPS!N15&gt;0,CPS!N15,"")</f>
        <v/>
      </c>
      <c r="N6" t="str">
        <f>IF(CPS!O15&gt;0,CPS!O15,"")</f>
        <v/>
      </c>
      <c r="O6" t="str">
        <f>IF(CPS!P15&gt;0,CPS!P15,"")</f>
        <v/>
      </c>
      <c r="P6" t="str">
        <f>IF(CPS!Q15&gt;0,CPS!Q15,"")</f>
        <v/>
      </c>
    </row>
    <row r="7" spans="1:16" x14ac:dyDescent="0.2">
      <c r="A7" t="str">
        <f>IF(CPS!B19&gt;0,CPS!B19,"")</f>
        <v>OUTSOURCE</v>
      </c>
      <c r="B7" t="str">
        <f>IF(CPS!C19&gt;0,CPS!C19,"")</f>
        <v/>
      </c>
      <c r="C7" t="str">
        <f>IF(CPS!D19&gt;0,CPS!D19,"")</f>
        <v/>
      </c>
      <c r="D7" t="str">
        <f>IF(CPS!E19&gt;0,CPS!E19,"")</f>
        <v/>
      </c>
      <c r="E7" t="str">
        <f>IF(CPS!F19&gt;0,CPS!F19,"")</f>
        <v/>
      </c>
      <c r="F7" t="str">
        <f>IF(CPS!G19&gt;0,CPS!G19,"")</f>
        <v/>
      </c>
      <c r="G7" t="str">
        <f>IF(CPS!H19&gt;0,CPS!H19,"")</f>
        <v/>
      </c>
      <c r="H7" t="str">
        <f>IF(CPS!I19&gt;0,CPS!I19,"")</f>
        <v/>
      </c>
      <c r="I7" t="str">
        <f>IF(CPS!J19&gt;0,CPS!J19,"")</f>
        <v/>
      </c>
      <c r="J7" t="str">
        <f>IF(CPS!K19&gt;0,CPS!K19,"")</f>
        <v/>
      </c>
      <c r="K7" t="str">
        <f>IF(CPS!L19&gt;0,CPS!L19,"")</f>
        <v/>
      </c>
      <c r="L7" t="str">
        <f>IF(CPS!M19&gt;0,CPS!M19,"")</f>
        <v/>
      </c>
      <c r="M7" t="str">
        <f>IF(CPS!N19&gt;0,CPS!N19,"")</f>
        <v/>
      </c>
      <c r="N7" t="str">
        <f>IF(CPS!O19&gt;0,CPS!O19,"")</f>
        <v/>
      </c>
      <c r="O7" t="str">
        <f>IF(CPS!P19&gt;0,CPS!P19,"")</f>
        <v/>
      </c>
      <c r="P7" t="str">
        <f>IF(CPS!Q19&gt;0,CPS!Q19,"")</f>
        <v/>
      </c>
    </row>
    <row r="11" spans="1:16" x14ac:dyDescent="0.2">
      <c r="B11" t="str">
        <f>IF(CPS!C1&gt;0,CPS!C1,"")</f>
        <v>JAN</v>
      </c>
      <c r="C11" t="str">
        <f>IF(CPS!D1&gt;0,CPS!D1,"")</f>
        <v>FEB</v>
      </c>
      <c r="D11" t="str">
        <f>IF(CPS!E1&gt;0,CPS!E1,"")</f>
        <v>MAR</v>
      </c>
      <c r="E11" t="str">
        <f>IF(CPS!F1&gt;0,CPS!F1,"")</f>
        <v>APR</v>
      </c>
      <c r="F11" t="str">
        <f>IF(CPS!G1&gt;0,CPS!G1,"")</f>
        <v>MAY</v>
      </c>
      <c r="G11" t="str">
        <f>IF(CPS!H1&gt;0,CPS!H1,"")</f>
        <v>JUN</v>
      </c>
      <c r="H11" t="str">
        <f>IF(CPS!I1&gt;0,CPS!I1,"")</f>
        <v>JUL</v>
      </c>
      <c r="I11" t="str">
        <f>IF(CPS!J1&gt;0,CPS!J1,"")</f>
        <v>AUG</v>
      </c>
      <c r="J11" t="str">
        <f>IF(CPS!K1&gt;0,CPS!K1,"")</f>
        <v>SEP</v>
      </c>
      <c r="K11" t="str">
        <f>IF(CPS!L1&gt;0,CPS!L1,"")</f>
        <v>OCT</v>
      </c>
      <c r="L11" t="str">
        <f>IF(CPS!M1&gt;0,CPS!M1,"")</f>
        <v>NOV</v>
      </c>
      <c r="M11" t="str">
        <f>IF(CPS!N1&gt;0,CPS!N1,"")</f>
        <v>DEC</v>
      </c>
      <c r="N11" t="str">
        <f>IF(CPS!O1&gt;0,CPS!O1,"")</f>
        <v>JAN'27</v>
      </c>
      <c r="O11" t="str">
        <f>IF(CPS!P1&gt;0,CPS!P1,"")</f>
        <v>FEB'27</v>
      </c>
      <c r="P11" t="str">
        <f>IF(CPS!Q1&gt;0,CPS!Q1,"")</f>
        <v>MAR'27</v>
      </c>
    </row>
    <row r="12" spans="1:16" x14ac:dyDescent="0.2">
      <c r="A12" t="str">
        <f>IF(CPS!B2&gt;0,CPS!B2,"")</f>
        <v>Staff</v>
      </c>
      <c r="B12">
        <f>IF(CPS!C9&gt;0,CPS!C9,"")</f>
        <v>18</v>
      </c>
      <c r="C12">
        <f>IF(CPS!D9&gt;0,CPS!D9,"")</f>
        <v>18</v>
      </c>
      <c r="D12">
        <f>IF(CPS!E9&gt;0,CPS!E9,"")</f>
        <v>18</v>
      </c>
      <c r="E12">
        <f>IF(CPS!F9&gt;0,CPS!F9,"")</f>
        <v>17</v>
      </c>
      <c r="F12">
        <f>IF(CPS!G9&gt;0,CPS!G9,"")</f>
        <v>17</v>
      </c>
      <c r="G12">
        <f>IF(CPS!H9&gt;0,CPS!H9,"")</f>
        <v>17</v>
      </c>
      <c r="H12">
        <f>IF(CPS!I9&gt;0,CPS!I9,"")</f>
        <v>17</v>
      </c>
      <c r="I12">
        <f>IF(CPS!J9&gt;0,CPS!J9,"")</f>
        <v>17</v>
      </c>
      <c r="J12">
        <f>IF(CPS!K9&gt;0,CPS!K9,"")</f>
        <v>17</v>
      </c>
      <c r="K12">
        <f>IF(CPS!L9&gt;0,CPS!L9,"")</f>
        <v>17</v>
      </c>
      <c r="L12">
        <f>IF(CPS!M9&gt;0,CPS!M9,"")</f>
        <v>17</v>
      </c>
      <c r="M12">
        <f>IF(CPS!N9&gt;0,CPS!N9,"")</f>
        <v>17</v>
      </c>
      <c r="N12">
        <f>IF(CPS!O9&gt;0,CPS!O9,"")</f>
        <v>17</v>
      </c>
      <c r="O12">
        <f>IF(CPS!P9&gt;0,CPS!P9,"")</f>
        <v>17</v>
      </c>
      <c r="P12">
        <f>IF(CPS!Q9&gt;0,CPS!Q9,"")</f>
        <v>17</v>
      </c>
    </row>
    <row r="13" spans="1:16" x14ac:dyDescent="0.2">
      <c r="A13" t="str">
        <f>IF(CPS!B3&gt;0,CPS!B3,"")</f>
        <v>Staff AVG</v>
      </c>
      <c r="B13">
        <f>IF(CPS!C10&gt;0,CPS!C10,"")</f>
        <v>17</v>
      </c>
      <c r="C13">
        <f>IF(CPS!D10&gt;0,CPS!D10,"")</f>
        <v>17</v>
      </c>
      <c r="D13">
        <f>IF(CPS!E10&gt;0,CPS!E10,"")</f>
        <v>17</v>
      </c>
      <c r="E13">
        <f>IF(CPS!F10&gt;0,CPS!F10,"")</f>
        <v>17</v>
      </c>
      <c r="F13">
        <f>IF(CPS!G10&gt;0,CPS!G10,"")</f>
        <v>17</v>
      </c>
      <c r="G13">
        <f>IF(CPS!H10&gt;0,CPS!H10,"")</f>
        <v>17</v>
      </c>
      <c r="H13">
        <f>IF(CPS!I10&gt;0,CPS!I10,"")</f>
        <v>17</v>
      </c>
      <c r="I13">
        <f>IF(CPS!J10&gt;0,CPS!J10,"")</f>
        <v>17</v>
      </c>
      <c r="J13">
        <f>IF(CPS!K10&gt;0,CPS!K10,"")</f>
        <v>17</v>
      </c>
      <c r="K13">
        <f>IF(CPS!L10&gt;0,CPS!L10,"")</f>
        <v>17</v>
      </c>
      <c r="L13">
        <f>IF(CPS!M10&gt;0,CPS!M10,"")</f>
        <v>17</v>
      </c>
      <c r="M13">
        <f>IF(CPS!N10&gt;0,CPS!N10,"")</f>
        <v>17</v>
      </c>
      <c r="N13">
        <f>IF(CPS!O10&gt;0,CPS!O10,"")</f>
        <v>17</v>
      </c>
      <c r="O13">
        <f>IF(CPS!P10&gt;0,CPS!P10,"")</f>
        <v>17</v>
      </c>
      <c r="P13">
        <f>IF(CPS!Q10&gt;0,CPS!Q10,"")</f>
        <v>17</v>
      </c>
    </row>
    <row r="14" spans="1:16" x14ac:dyDescent="0.2">
      <c r="A14" t="str">
        <f>IF(CPS!B4&gt;0,CPS!B4,"")</f>
        <v>Plan</v>
      </c>
      <c r="B14">
        <f>IF(CPS!C11&gt;0,CPS!C11,"")</f>
        <v>17</v>
      </c>
      <c r="C14">
        <f>IF(CPS!D11&gt;0,CPS!D11,"")</f>
        <v>17</v>
      </c>
      <c r="D14">
        <f>IF(CPS!E11&gt;0,CPS!E11,"")</f>
        <v>17</v>
      </c>
      <c r="E14">
        <f>IF(CPS!F11&gt;0,CPS!F11,"")</f>
        <v>17</v>
      </c>
      <c r="F14">
        <f>IF(CPS!G11&gt;0,CPS!G11,"")</f>
        <v>18</v>
      </c>
      <c r="G14">
        <f>IF(CPS!H11&gt;0,CPS!H11,"")</f>
        <v>17</v>
      </c>
      <c r="H14">
        <f>IF(CPS!I11&gt;0,CPS!I11,"")</f>
        <v>16</v>
      </c>
      <c r="I14">
        <f>IF(CPS!J11&gt;0,CPS!J11,"")</f>
        <v>16</v>
      </c>
      <c r="J14">
        <f>IF(CPS!K11&gt;0,CPS!K11,"")</f>
        <v>16</v>
      </c>
      <c r="K14">
        <f>IF(CPS!L11&gt;0,CPS!L11,"")</f>
        <v>16</v>
      </c>
      <c r="L14">
        <f>IF(CPS!M11&gt;0,CPS!M11,"")</f>
        <v>16</v>
      </c>
      <c r="M14">
        <f>IF(CPS!N11&gt;0,CPS!N11,"")</f>
        <v>16</v>
      </c>
      <c r="N14">
        <f>IF(CPS!O11&gt;0,CPS!O11,"")</f>
        <v>14</v>
      </c>
      <c r="O14">
        <f>IF(CPS!P11&gt;0,CPS!P11,"")</f>
        <v>14</v>
      </c>
      <c r="P14">
        <f>IF(CPS!Q11&gt;0,CPS!Q11,"")</f>
        <v>14</v>
      </c>
    </row>
    <row r="21" spans="1:16" x14ac:dyDescent="0.2">
      <c r="B21" t="str">
        <f>IF(CPS!C1&gt;0,CPS!C1,"")</f>
        <v>JAN</v>
      </c>
      <c r="C21" t="str">
        <f>IF(CPS!D1&gt;0,CPS!D1,"")</f>
        <v>FEB</v>
      </c>
      <c r="D21" t="str">
        <f>IF(CPS!E1&gt;0,CPS!E1,"")</f>
        <v>MAR</v>
      </c>
      <c r="E21" t="str">
        <f>IF(CPS!F1&gt;0,CPS!F1,"")</f>
        <v>APR</v>
      </c>
      <c r="F21" t="str">
        <f>IF(CPS!G1&gt;0,CPS!G1,"")</f>
        <v>MAY</v>
      </c>
      <c r="G21" t="str">
        <f>IF(CPS!H1&gt;0,CPS!H1,"")</f>
        <v>JUN</v>
      </c>
      <c r="H21" t="str">
        <f>IF(CPS!I1&gt;0,CPS!I1,"")</f>
        <v>JUL</v>
      </c>
      <c r="I21" t="str">
        <f>IF(CPS!J1&gt;0,CPS!J1,"")</f>
        <v>AUG</v>
      </c>
      <c r="J21" t="str">
        <f>IF(CPS!K1&gt;0,CPS!K1,"")</f>
        <v>SEP</v>
      </c>
      <c r="K21" t="str">
        <f>IF(CPS!L1&gt;0,CPS!L1,"")</f>
        <v>OCT</v>
      </c>
      <c r="L21" t="str">
        <f>IF(CPS!M1&gt;0,CPS!M1,"")</f>
        <v>NOV</v>
      </c>
      <c r="M21" t="str">
        <f>IF(CPS!N1&gt;0,CPS!N1,"")</f>
        <v>DEC</v>
      </c>
      <c r="N21" t="str">
        <f>IF(CPS!O1&gt;0,CPS!O1,"")</f>
        <v>JAN'27</v>
      </c>
      <c r="O21" t="str">
        <f>IF(CPS!P1&gt;0,CPS!P1,"")</f>
        <v>FEB'27</v>
      </c>
      <c r="P21" t="str">
        <f>IF(CPS!Q1&gt;0,CPS!Q1,"")</f>
        <v>MAR'27</v>
      </c>
    </row>
    <row r="22" spans="1:16" x14ac:dyDescent="0.2">
      <c r="A22" t="str">
        <f>CPS!B2</f>
        <v>Staff</v>
      </c>
      <c r="B22">
        <f>CPS!C13</f>
        <v>0</v>
      </c>
      <c r="C22">
        <f>CPS!D13</f>
        <v>0</v>
      </c>
      <c r="D22">
        <f>CPS!E13</f>
        <v>0</v>
      </c>
      <c r="E22">
        <f>CPS!F13</f>
        <v>0</v>
      </c>
      <c r="F22">
        <f>CPS!G13</f>
        <v>0</v>
      </c>
      <c r="G22">
        <f>CPS!H13</f>
        <v>0</v>
      </c>
      <c r="H22">
        <f>CPS!I13</f>
        <v>0</v>
      </c>
      <c r="I22">
        <f>CPS!J13</f>
        <v>0</v>
      </c>
      <c r="J22">
        <f>CPS!K13</f>
        <v>0</v>
      </c>
      <c r="K22">
        <f>CPS!L13</f>
        <v>0</v>
      </c>
      <c r="L22">
        <f>CPS!M13</f>
        <v>0</v>
      </c>
      <c r="M22">
        <f>CPS!N13</f>
        <v>0</v>
      </c>
      <c r="N22">
        <f>CPS!O13</f>
        <v>0</v>
      </c>
      <c r="O22">
        <f>CPS!P13</f>
        <v>0</v>
      </c>
      <c r="P22">
        <f>CPS!Q13</f>
        <v>0</v>
      </c>
    </row>
    <row r="23" spans="1:16" x14ac:dyDescent="0.2">
      <c r="A23" t="str">
        <f>CPS!B3</f>
        <v>Staff AVG</v>
      </c>
      <c r="B23">
        <f>CPS!C14</f>
        <v>0</v>
      </c>
      <c r="C23">
        <f>CPS!D14</f>
        <v>0</v>
      </c>
      <c r="D23">
        <f>CPS!E14</f>
        <v>0</v>
      </c>
      <c r="E23">
        <f>CPS!F14</f>
        <v>0</v>
      </c>
      <c r="F23">
        <f>CPS!G14</f>
        <v>0</v>
      </c>
      <c r="G23">
        <f>CPS!H14</f>
        <v>0</v>
      </c>
      <c r="H23">
        <f>CPS!I14</f>
        <v>0</v>
      </c>
      <c r="I23">
        <f>CPS!J14</f>
        <v>0</v>
      </c>
      <c r="J23">
        <f>CPS!K14</f>
        <v>0</v>
      </c>
      <c r="K23">
        <f>CPS!L14</f>
        <v>0</v>
      </c>
      <c r="L23">
        <f>CPS!M14</f>
        <v>0</v>
      </c>
      <c r="M23">
        <f>CPS!N14</f>
        <v>0</v>
      </c>
      <c r="N23">
        <f>CPS!O14</f>
        <v>0</v>
      </c>
      <c r="O23">
        <f>CPS!P14</f>
        <v>0</v>
      </c>
      <c r="P23">
        <f>CPS!Q14</f>
        <v>0</v>
      </c>
    </row>
    <row r="24" spans="1:16" x14ac:dyDescent="0.2">
      <c r="A24" t="str">
        <f>CPS!B4</f>
        <v>Plan</v>
      </c>
      <c r="B24">
        <f>CPS!C15</f>
        <v>0</v>
      </c>
      <c r="C24">
        <f>CPS!D15</f>
        <v>0</v>
      </c>
      <c r="D24">
        <f>CPS!E15</f>
        <v>0</v>
      </c>
      <c r="E24">
        <f>CPS!F15</f>
        <v>0</v>
      </c>
      <c r="F24">
        <f>CPS!G15</f>
        <v>0</v>
      </c>
      <c r="G24">
        <f>CPS!H15</f>
        <v>0</v>
      </c>
      <c r="H24">
        <f>CPS!I15</f>
        <v>0</v>
      </c>
      <c r="I24">
        <f>CPS!J15</f>
        <v>0</v>
      </c>
      <c r="J24">
        <f>CPS!K15</f>
        <v>0</v>
      </c>
      <c r="K24">
        <f>CPS!L15</f>
        <v>0</v>
      </c>
      <c r="L24">
        <f>CPS!M15</f>
        <v>0</v>
      </c>
      <c r="M24">
        <f>CPS!N15</f>
        <v>0</v>
      </c>
      <c r="N24">
        <f>CPS!O15</f>
        <v>0</v>
      </c>
      <c r="O24">
        <f>CPS!P15</f>
        <v>0</v>
      </c>
      <c r="P24">
        <f>CPS!Q15</f>
        <v>0</v>
      </c>
    </row>
    <row r="31" spans="1:16" x14ac:dyDescent="0.2">
      <c r="B31" t="str">
        <f>IF(CPS!C1&gt;0,CPS!C1,"")</f>
        <v>JAN</v>
      </c>
      <c r="C31" t="str">
        <f>IF(CPS!D1&gt;0,CPS!D1,"")</f>
        <v>FEB</v>
      </c>
      <c r="D31" t="str">
        <f>IF(CPS!E1&gt;0,CPS!E1,"")</f>
        <v>MAR</v>
      </c>
      <c r="E31" t="str">
        <f>IF(CPS!F1&gt;0,CPS!F1,"")</f>
        <v>APR</v>
      </c>
      <c r="F31" t="str">
        <f>IF(CPS!G1&gt;0,CPS!G1,"")</f>
        <v>MAY</v>
      </c>
      <c r="G31" t="str">
        <f>IF(CPS!H1&gt;0,CPS!H1,"")</f>
        <v>JUN</v>
      </c>
      <c r="H31" t="str">
        <f>IF(CPS!I1&gt;0,CPS!I1,"")</f>
        <v>JUL</v>
      </c>
      <c r="I31" t="str">
        <f>IF(CPS!J1&gt;0,CPS!J1,"")</f>
        <v>AUG</v>
      </c>
      <c r="J31" t="str">
        <f>IF(CPS!K1&gt;0,CPS!K1,"")</f>
        <v>SEP</v>
      </c>
      <c r="K31" t="str">
        <f>IF(CPS!L1&gt;0,CPS!L1,"")</f>
        <v>OCT</v>
      </c>
      <c r="L31" t="str">
        <f>IF(CPS!M1&gt;0,CPS!M1,"")</f>
        <v>NOV</v>
      </c>
      <c r="M31" t="str">
        <f>IF(CPS!N1&gt;0,CPS!N1,"")</f>
        <v>DEC</v>
      </c>
      <c r="N31" t="str">
        <f>IF(CPS!O1&gt;0,CPS!O1,"")</f>
        <v>JAN'27</v>
      </c>
      <c r="O31" t="str">
        <f>IF(CPS!P1&gt;0,CPS!P1,"")</f>
        <v>FEB'27</v>
      </c>
      <c r="P31" t="str">
        <f>IF(CPS!Q1&gt;0,CPS!Q1,"")</f>
        <v>MAR'27</v>
      </c>
    </row>
    <row r="32" spans="1:16" x14ac:dyDescent="0.2">
      <c r="A32" t="str">
        <f>IF(CPS!B2&gt;0,CPS!B2,"")</f>
        <v>Staff</v>
      </c>
      <c r="B32">
        <f>CPS!C17</f>
        <v>0</v>
      </c>
      <c r="C32">
        <f>CPS!D17</f>
        <v>0</v>
      </c>
      <c r="D32">
        <f>CPS!E17</f>
        <v>0</v>
      </c>
      <c r="E32">
        <f>CPS!F17</f>
        <v>0</v>
      </c>
      <c r="F32">
        <f>CPS!G17</f>
        <v>0</v>
      </c>
      <c r="G32">
        <f>CPS!H17</f>
        <v>0</v>
      </c>
      <c r="H32">
        <f>CPS!I17</f>
        <v>0</v>
      </c>
      <c r="I32">
        <f>CPS!J17</f>
        <v>0</v>
      </c>
      <c r="J32">
        <f>CPS!K17</f>
        <v>0</v>
      </c>
      <c r="K32">
        <f>CPS!L17</f>
        <v>0</v>
      </c>
      <c r="L32">
        <f>CPS!M17</f>
        <v>0</v>
      </c>
      <c r="M32">
        <f>CPS!N17</f>
        <v>0</v>
      </c>
      <c r="N32">
        <f>CPS!O17</f>
        <v>0</v>
      </c>
      <c r="O32">
        <f>CPS!P17</f>
        <v>0</v>
      </c>
      <c r="P32">
        <f>CPS!Q17</f>
        <v>0</v>
      </c>
    </row>
    <row r="33" spans="1:16" x14ac:dyDescent="0.2">
      <c r="A33" t="str">
        <f>IF(CPS!B3&gt;0,CPS!B3,"")</f>
        <v>Staff AVG</v>
      </c>
      <c r="B33">
        <f>CPS!C18</f>
        <v>0</v>
      </c>
      <c r="C33">
        <f>CPS!D18</f>
        <v>0</v>
      </c>
      <c r="D33">
        <f>CPS!E18</f>
        <v>0</v>
      </c>
      <c r="E33">
        <f>CPS!F18</f>
        <v>0</v>
      </c>
      <c r="F33">
        <f>CPS!G18</f>
        <v>0</v>
      </c>
      <c r="G33">
        <f>CPS!H18</f>
        <v>0</v>
      </c>
      <c r="H33">
        <f>CPS!I18</f>
        <v>0</v>
      </c>
      <c r="I33">
        <f>CPS!J18</f>
        <v>0</v>
      </c>
      <c r="J33">
        <f>CPS!K18</f>
        <v>0</v>
      </c>
      <c r="K33">
        <f>CPS!L18</f>
        <v>0</v>
      </c>
      <c r="L33">
        <f>CPS!M18</f>
        <v>0</v>
      </c>
      <c r="M33">
        <f>CPS!N18</f>
        <v>0</v>
      </c>
      <c r="N33">
        <f>CPS!O18</f>
        <v>0</v>
      </c>
      <c r="O33">
        <f>CPS!P18</f>
        <v>0</v>
      </c>
      <c r="P33">
        <f>CPS!Q18</f>
        <v>0</v>
      </c>
    </row>
    <row r="34" spans="1:16" x14ac:dyDescent="0.2">
      <c r="A34" t="str">
        <f>IF(CPS!B4&gt;0,CPS!B4,"")</f>
        <v>Plan</v>
      </c>
      <c r="B34">
        <f>CPS!C19</f>
        <v>0</v>
      </c>
      <c r="C34">
        <f>CPS!D19</f>
        <v>0</v>
      </c>
      <c r="D34">
        <f>CPS!E19</f>
        <v>0</v>
      </c>
      <c r="E34">
        <f>CPS!F19</f>
        <v>0</v>
      </c>
      <c r="F34">
        <f>CPS!G19</f>
        <v>0</v>
      </c>
      <c r="G34">
        <f>CPS!H19</f>
        <v>0</v>
      </c>
      <c r="H34">
        <f>CPS!I19</f>
        <v>0</v>
      </c>
      <c r="I34">
        <f>CPS!J19</f>
        <v>0</v>
      </c>
      <c r="J34">
        <f>CPS!K19</f>
        <v>0</v>
      </c>
      <c r="K34">
        <f>CPS!L19</f>
        <v>0</v>
      </c>
      <c r="L34">
        <f>CPS!M19</f>
        <v>0</v>
      </c>
      <c r="M34">
        <f>CPS!N19</f>
        <v>0</v>
      </c>
      <c r="N34">
        <f>CPS!O19</f>
        <v>0</v>
      </c>
      <c r="O34">
        <f>CPS!P19</f>
        <v>0</v>
      </c>
      <c r="P34">
        <f>CPS!Q19</f>
        <v>0</v>
      </c>
    </row>
    <row r="41" spans="1:16" x14ac:dyDescent="0.2">
      <c r="B41" t="str">
        <f>IF(CPS!C31&gt;0,CPS!C31,"")</f>
        <v>Q1</v>
      </c>
      <c r="C41" t="str">
        <f>IF(CPS!D31&gt;0,CPS!D31,"")</f>
        <v>Q2</v>
      </c>
      <c r="D41" t="str">
        <f>IF(CPS!E31&gt;0,CPS!E31,"")</f>
        <v>Q3</v>
      </c>
      <c r="E41" t="str">
        <f>IF(CPS!F31&gt;0,CPS!F31,"")</f>
        <v>Q4</v>
      </c>
      <c r="F41" t="str">
        <f>IF(CPS!G31&gt;0,CPS!G31,"")</f>
        <v>Q1'27</v>
      </c>
    </row>
    <row r="42" spans="1:16" x14ac:dyDescent="0.2">
      <c r="A42" t="str">
        <f>IF(CPS!B32&gt;0,CPS!B32,"")</f>
        <v>Staff</v>
      </c>
      <c r="B42">
        <f>IF(CPS!C32&gt;0,CPS!C32,"")</f>
        <v>18</v>
      </c>
      <c r="C42">
        <f>IF(CPS!D32&gt;0,CPS!D32,"")</f>
        <v>17</v>
      </c>
      <c r="D42">
        <f>IF(CPS!E32&gt;0,CPS!E32,"")</f>
        <v>17</v>
      </c>
      <c r="E42">
        <f>IF(CPS!F32&gt;0,CPS!F32,"")</f>
        <v>17</v>
      </c>
      <c r="F42">
        <f>IF(CPS!G32&gt;0,CPS!G32,"")</f>
        <v>17</v>
      </c>
    </row>
    <row r="43" spans="1:16" x14ac:dyDescent="0.2">
      <c r="A43" t="str">
        <f>IF(CPS!B33&gt;0,CPS!B33,"")</f>
        <v>Staff AVG</v>
      </c>
      <c r="B43">
        <f>IF(CPS!C33&gt;0,CPS!C33,"")</f>
        <v>17</v>
      </c>
      <c r="C43">
        <f>IF(CPS!D33&gt;0,CPS!D33,"")</f>
        <v>17</v>
      </c>
      <c r="D43">
        <f>IF(CPS!E33&gt;0,CPS!E33,"")</f>
        <v>17</v>
      </c>
      <c r="E43">
        <f>IF(CPS!F33&gt;0,CPS!F33,"")</f>
        <v>17</v>
      </c>
      <c r="F43">
        <f>IF(CPS!G33&gt;0,CPS!G33,"")</f>
        <v>17</v>
      </c>
    </row>
    <row r="44" spans="1:16" x14ac:dyDescent="0.2">
      <c r="A44" t="str">
        <f>IF(CPS!B34&gt;0,CPS!B34,"")</f>
        <v>Plan</v>
      </c>
      <c r="B44">
        <f>IF(CPS!C34&gt;0,CPS!C34,"")</f>
        <v>17</v>
      </c>
      <c r="C44">
        <f>IF(CPS!D34&gt;0,CPS!D34,"")</f>
        <v>17</v>
      </c>
      <c r="D44">
        <f>IF(CPS!E34&gt;0,CPS!E34,"")</f>
        <v>16</v>
      </c>
      <c r="E44">
        <f>IF(CPS!F34&gt;0,CPS!F34,"")</f>
        <v>16</v>
      </c>
      <c r="F44">
        <f>IF(CPS!G34&gt;0,CPS!G34,"")</f>
        <v>15</v>
      </c>
    </row>
    <row r="45" spans="1:16" x14ac:dyDescent="0.2">
      <c r="A45" t="str">
        <f>IF(CPS!B41&gt;0,CPS!B41,"")</f>
        <v>PAYROLL</v>
      </c>
      <c r="B45">
        <f>IF(CPS!C41&gt;0,CPS!C41,"")</f>
        <v>17</v>
      </c>
      <c r="C45">
        <f>IF(CPS!D41&gt;0,CPS!D41,"")</f>
        <v>17</v>
      </c>
      <c r="D45">
        <f>IF(CPS!E41&gt;0,CPS!E41,"")</f>
        <v>16</v>
      </c>
      <c r="E45">
        <f>IF(CPS!F41&gt;0,CPS!F41,"")</f>
        <v>16</v>
      </c>
      <c r="F45">
        <f>IF(CPS!G41&gt;0,CPS!G41,"")</f>
        <v>15</v>
      </c>
    </row>
    <row r="46" spans="1:16" x14ac:dyDescent="0.2">
      <c r="A46" t="str">
        <f>IF(CPS!B45&gt;0,CPS!B45,"")</f>
        <v>CONTRACTOR</v>
      </c>
      <c r="B46" t="str">
        <f>IF(CPS!C45&gt;0,CPS!C45,"")</f>
        <v/>
      </c>
      <c r="C46" t="str">
        <f>IF(CPS!D45&gt;0,CPS!D45,"")</f>
        <v/>
      </c>
      <c r="D46" t="str">
        <f>IF(CPS!E45&gt;0,CPS!E45,"")</f>
        <v/>
      </c>
      <c r="E46" t="str">
        <f>IF(CPS!F45&gt;0,CPS!F45,"")</f>
        <v/>
      </c>
      <c r="F46" t="str">
        <f>IF(CPS!G45&gt;0,CPS!G45,"")</f>
        <v/>
      </c>
    </row>
    <row r="47" spans="1:16" x14ac:dyDescent="0.2">
      <c r="A47" t="str">
        <f>IF(CPS!B49&gt;0,CPS!B49,"")</f>
        <v>OUTSOURCE</v>
      </c>
      <c r="B47" t="str">
        <f>IF(CPS!C49&gt;0,CPS!C49,"")</f>
        <v/>
      </c>
      <c r="C47" t="str">
        <f>IF(CPS!D49&gt;0,CPS!D49,"")</f>
        <v/>
      </c>
      <c r="D47" t="str">
        <f>IF(CPS!E49&gt;0,CPS!E49,"")</f>
        <v/>
      </c>
      <c r="E47" t="str">
        <f>IF(CPS!F49&gt;0,CPS!F49,"")</f>
        <v/>
      </c>
      <c r="F47" t="str">
        <f>IF(CPS!G49&gt;0,CPS!G49,"")</f>
        <v/>
      </c>
    </row>
    <row r="51" spans="1:16" x14ac:dyDescent="0.2">
      <c r="A51" t="str">
        <f>CPS!A66</f>
        <v>Business Development &amp; Partnerships</v>
      </c>
      <c r="B51" t="str">
        <f>CPS!C61</f>
        <v>JAN</v>
      </c>
      <c r="C51" t="str">
        <f>CPS!D61</f>
        <v>FEB</v>
      </c>
      <c r="D51" t="str">
        <f>CPS!E61</f>
        <v>MAR</v>
      </c>
      <c r="E51" t="str">
        <f>CPS!F61</f>
        <v>APR</v>
      </c>
      <c r="F51" t="str">
        <f>CPS!G61</f>
        <v>MAY</v>
      </c>
      <c r="G51" t="str">
        <f>CPS!H61</f>
        <v>JUN</v>
      </c>
      <c r="H51" t="str">
        <f>CPS!I61</f>
        <v>JUL</v>
      </c>
      <c r="I51" t="str">
        <f>CPS!J61</f>
        <v>AUG</v>
      </c>
      <c r="J51" t="str">
        <f>CPS!K61</f>
        <v>SEP</v>
      </c>
      <c r="K51" t="str">
        <f>CPS!L61</f>
        <v>OCT</v>
      </c>
      <c r="L51" t="str">
        <f>CPS!M61</f>
        <v>NOV</v>
      </c>
      <c r="M51" t="str">
        <f>CPS!N61</f>
        <v>DEC</v>
      </c>
      <c r="N51" t="str">
        <f>CPS!O61</f>
        <v>JAN'27</v>
      </c>
      <c r="O51" t="str">
        <f>CPS!P61</f>
        <v>FEB'27</v>
      </c>
      <c r="P51" t="str">
        <f>CPS!Q61</f>
        <v>MAR'27</v>
      </c>
    </row>
    <row r="52" spans="1:16" x14ac:dyDescent="0.2">
      <c r="A52" t="str">
        <f>CPS!B66</f>
        <v>Staff</v>
      </c>
      <c r="B52">
        <f>CPS!C66</f>
        <v>12</v>
      </c>
      <c r="C52">
        <f>CPS!D66</f>
        <v>12</v>
      </c>
      <c r="D52">
        <f>CPS!E66</f>
        <v>12</v>
      </c>
      <c r="E52">
        <f>CPS!F66</f>
        <v>11</v>
      </c>
      <c r="F52">
        <f>CPS!G66</f>
        <v>11</v>
      </c>
      <c r="G52">
        <f>CPS!H66</f>
        <v>11</v>
      </c>
      <c r="H52">
        <f>CPS!I66</f>
        <v>11</v>
      </c>
      <c r="I52">
        <f>CPS!J66</f>
        <v>11</v>
      </c>
      <c r="J52">
        <f>CPS!K66</f>
        <v>11</v>
      </c>
      <c r="K52">
        <f>CPS!L66</f>
        <v>11</v>
      </c>
      <c r="L52">
        <f>CPS!M66</f>
        <v>11</v>
      </c>
      <c r="M52">
        <f>CPS!N66</f>
        <v>11</v>
      </c>
      <c r="N52">
        <f>CPS!O66</f>
        <v>11</v>
      </c>
      <c r="O52">
        <f>CPS!P66</f>
        <v>11</v>
      </c>
      <c r="P52">
        <f>CPS!Q66</f>
        <v>11</v>
      </c>
    </row>
    <row r="53" spans="1:16" x14ac:dyDescent="0.2">
      <c r="A53" t="str">
        <f>CPS!B67</f>
        <v>Plan</v>
      </c>
      <c r="B53">
        <f>CPS!C67</f>
        <v>11.25</v>
      </c>
      <c r="C53">
        <f>CPS!D67</f>
        <v>11.35</v>
      </c>
      <c r="D53">
        <f>CPS!E67</f>
        <v>11.05</v>
      </c>
      <c r="E53">
        <f>CPS!F67</f>
        <v>11.4</v>
      </c>
      <c r="F53">
        <f>CPS!G67</f>
        <v>11.5</v>
      </c>
      <c r="G53">
        <f>CPS!H67</f>
        <v>11.4</v>
      </c>
      <c r="H53">
        <f>CPS!I67</f>
        <v>10.199999999999999</v>
      </c>
      <c r="I53">
        <f>CPS!J67</f>
        <v>10</v>
      </c>
      <c r="J53">
        <f>CPS!K67</f>
        <v>10</v>
      </c>
      <c r="K53">
        <f>CPS!L67</f>
        <v>9.9</v>
      </c>
      <c r="L53">
        <f>CPS!M67</f>
        <v>9.6999999999999993</v>
      </c>
      <c r="M53">
        <f>CPS!N67</f>
        <v>9.6999999999999993</v>
      </c>
      <c r="N53">
        <f>CPS!O67</f>
        <v>8.1999999999999993</v>
      </c>
      <c r="O53">
        <f>CPS!P67</f>
        <v>8.1999999999999993</v>
      </c>
      <c r="P53">
        <f>CPS!Q67</f>
        <v>8.1999999999999993</v>
      </c>
    </row>
    <row r="61" spans="1:16" x14ac:dyDescent="0.2">
      <c r="A61" t="str">
        <f>CPS!A68</f>
        <v>Product Commercialization</v>
      </c>
      <c r="B61" t="str">
        <f>CPS!C61</f>
        <v>JAN</v>
      </c>
      <c r="C61" t="str">
        <f>CPS!D61</f>
        <v>FEB</v>
      </c>
      <c r="D61" t="str">
        <f>CPS!E61</f>
        <v>MAR</v>
      </c>
      <c r="E61" t="str">
        <f>CPS!F61</f>
        <v>APR</v>
      </c>
      <c r="F61" t="str">
        <f>CPS!G61</f>
        <v>MAY</v>
      </c>
      <c r="G61" t="str">
        <f>CPS!H61</f>
        <v>JUN</v>
      </c>
      <c r="H61" t="str">
        <f>CPS!I61</f>
        <v>JUL</v>
      </c>
      <c r="I61" t="str">
        <f>CPS!J61</f>
        <v>AUG</v>
      </c>
      <c r="J61" t="str">
        <f>CPS!K61</f>
        <v>SEP</v>
      </c>
      <c r="K61" t="str">
        <f>CPS!L61</f>
        <v>OCT</v>
      </c>
      <c r="L61" t="str">
        <f>CPS!M61</f>
        <v>NOV</v>
      </c>
      <c r="M61" t="str">
        <f>CPS!N61</f>
        <v>DEC</v>
      </c>
      <c r="N61" t="str">
        <f>CPS!O61</f>
        <v>JAN'27</v>
      </c>
      <c r="O61" t="str">
        <f>CPS!P61</f>
        <v>FEB'27</v>
      </c>
      <c r="P61" t="str">
        <f>CPS!Q61</f>
        <v>MAR'27</v>
      </c>
    </row>
    <row r="62" spans="1:16" x14ac:dyDescent="0.2">
      <c r="A62" t="str">
        <f>CPS!B68</f>
        <v>Staff</v>
      </c>
      <c r="B62">
        <f>CPS!C68</f>
        <v>5</v>
      </c>
      <c r="C62">
        <f>CPS!D68</f>
        <v>5</v>
      </c>
      <c r="D62">
        <f>CPS!E68</f>
        <v>5</v>
      </c>
      <c r="E62">
        <f>CPS!F68</f>
        <v>5</v>
      </c>
      <c r="F62">
        <f>CPS!G68</f>
        <v>5</v>
      </c>
      <c r="G62">
        <f>CPS!H68</f>
        <v>5</v>
      </c>
      <c r="H62">
        <f>CPS!I68</f>
        <v>5</v>
      </c>
      <c r="I62">
        <f>CPS!J68</f>
        <v>5</v>
      </c>
      <c r="J62">
        <f>CPS!K68</f>
        <v>5</v>
      </c>
      <c r="K62">
        <f>CPS!L68</f>
        <v>5</v>
      </c>
      <c r="L62">
        <f>CPS!M68</f>
        <v>5</v>
      </c>
      <c r="M62">
        <f>CPS!N68</f>
        <v>5</v>
      </c>
      <c r="N62">
        <f>CPS!O68</f>
        <v>5</v>
      </c>
      <c r="O62">
        <f>CPS!P68</f>
        <v>5</v>
      </c>
      <c r="P62">
        <f>CPS!Q68</f>
        <v>5</v>
      </c>
    </row>
    <row r="63" spans="1:16" x14ac:dyDescent="0.2">
      <c r="A63" t="str">
        <f>CPS!B69</f>
        <v>Plan</v>
      </c>
      <c r="B63">
        <f>CPS!C69</f>
        <v>4.5999999999999996</v>
      </c>
      <c r="C63">
        <f>CPS!D69</f>
        <v>4.5999999999999996</v>
      </c>
      <c r="D63">
        <f>CPS!E69</f>
        <v>4.5999999999999996</v>
      </c>
      <c r="E63">
        <f>CPS!F69</f>
        <v>5</v>
      </c>
      <c r="F63">
        <f>CPS!G69</f>
        <v>5</v>
      </c>
      <c r="G63">
        <f>CPS!H69</f>
        <v>5</v>
      </c>
      <c r="H63">
        <f>CPS!I69</f>
        <v>5</v>
      </c>
      <c r="I63">
        <f>CPS!J69</f>
        <v>5</v>
      </c>
      <c r="J63">
        <f>CPS!K69</f>
        <v>5</v>
      </c>
      <c r="K63">
        <f>CPS!L69</f>
        <v>5</v>
      </c>
      <c r="L63">
        <f>CPS!M69</f>
        <v>5</v>
      </c>
      <c r="M63">
        <f>CPS!N69</f>
        <v>5</v>
      </c>
      <c r="N63">
        <f>CPS!O69</f>
        <v>5</v>
      </c>
      <c r="O63">
        <f>CPS!P69</f>
        <v>5</v>
      </c>
      <c r="P63">
        <f>CPS!Q69</f>
        <v>5</v>
      </c>
    </row>
    <row r="151" spans="1:16" x14ac:dyDescent="0.2">
      <c r="B151" t="str">
        <f>CPS!C1</f>
        <v>JAN</v>
      </c>
      <c r="C151" t="str">
        <f>CPS!D1</f>
        <v>FEB</v>
      </c>
      <c r="D151" t="str">
        <f>CPS!E1</f>
        <v>MAR</v>
      </c>
      <c r="E151" t="str">
        <f>CPS!F1</f>
        <v>APR</v>
      </c>
      <c r="F151" t="str">
        <f>CPS!G1</f>
        <v>MAY</v>
      </c>
      <c r="G151" t="str">
        <f>CPS!H1</f>
        <v>JUN</v>
      </c>
      <c r="H151" t="str">
        <f>CPS!I1</f>
        <v>JUL</v>
      </c>
      <c r="I151" t="str">
        <f>CPS!J1</f>
        <v>AUG</v>
      </c>
      <c r="J151" t="str">
        <f>CPS!K1</f>
        <v>SEP</v>
      </c>
      <c r="K151" t="str">
        <f>CPS!L1</f>
        <v>OCT</v>
      </c>
      <c r="L151" t="str">
        <f>CPS!M1</f>
        <v>NOV</v>
      </c>
      <c r="M151" t="str">
        <f>CPS!N1</f>
        <v>DEC</v>
      </c>
      <c r="N151" t="str">
        <f>CPS!O1</f>
        <v>JAN'27</v>
      </c>
      <c r="O151" t="str">
        <f>CPS!P1</f>
        <v>FEB'27</v>
      </c>
      <c r="P151" t="str">
        <f>CPS!Q1</f>
        <v>MAR'27</v>
      </c>
    </row>
    <row r="152" spans="1:16" x14ac:dyDescent="0.2">
      <c r="A152" t="str">
        <f>CPS!B6</f>
        <v>% Plan</v>
      </c>
      <c r="B152" s="62">
        <f>CPS!C6</f>
        <v>0.93610000000000004</v>
      </c>
      <c r="C152" s="62">
        <f>CPS!D6</f>
        <v>0.94169999999999998</v>
      </c>
      <c r="D152" s="62">
        <f>CPS!E6</f>
        <v>0.92500000000000004</v>
      </c>
      <c r="E152" s="62">
        <f>CPS!F6</f>
        <v>1.0235000000000001</v>
      </c>
      <c r="F152" s="62">
        <f>CPS!G6</f>
        <v>1.0294000000000001</v>
      </c>
      <c r="G152" s="62">
        <f>CPS!H6</f>
        <v>1.0235000000000001</v>
      </c>
      <c r="H152" s="62">
        <f>CPS!I6</f>
        <v>0.95289999999999997</v>
      </c>
      <c r="I152" s="62">
        <f>CPS!J6</f>
        <v>0.94120000000000004</v>
      </c>
      <c r="J152" s="62">
        <f>CPS!K6</f>
        <v>0.94120000000000004</v>
      </c>
      <c r="K152" s="62">
        <f>CPS!L6</f>
        <v>0.93530000000000002</v>
      </c>
      <c r="L152" s="62">
        <f>CPS!M6</f>
        <v>0.92349999999999999</v>
      </c>
      <c r="M152" s="62">
        <f>CPS!N6</f>
        <v>0.92349999999999999</v>
      </c>
      <c r="N152" s="62">
        <f>CPS!O6</f>
        <v>0.83530000000000004</v>
      </c>
      <c r="O152" s="62">
        <f>CPS!P6</f>
        <v>0.83530000000000004</v>
      </c>
      <c r="P152" s="62">
        <f>CPS!Q6</f>
        <v>0.83530000000000004</v>
      </c>
    </row>
    <row r="153" spans="1:16" x14ac:dyDescent="0.2">
      <c r="A153" t="str">
        <f>CPS!B7</f>
        <v>Available FTE</v>
      </c>
      <c r="B153">
        <f>CPS!C7</f>
        <v>1</v>
      </c>
      <c r="C153">
        <f>CPS!D7</f>
        <v>1</v>
      </c>
      <c r="D153">
        <f>CPS!E7</f>
        <v>1</v>
      </c>
      <c r="E153">
        <f>CPS!F7</f>
        <v>0</v>
      </c>
      <c r="F153">
        <f>CPS!G7</f>
        <v>0</v>
      </c>
      <c r="G153">
        <f>CPS!H7</f>
        <v>0</v>
      </c>
      <c r="H153">
        <f>CPS!I7</f>
        <v>1</v>
      </c>
      <c r="I153">
        <f>CPS!J7</f>
        <v>1</v>
      </c>
      <c r="J153">
        <f>CPS!K7</f>
        <v>1</v>
      </c>
      <c r="K153">
        <f>CPS!L7</f>
        <v>1</v>
      </c>
      <c r="L153">
        <f>CPS!M7</f>
        <v>1</v>
      </c>
      <c r="M153">
        <f>CPS!N7</f>
        <v>1</v>
      </c>
      <c r="N153">
        <f>CPS!O7</f>
        <v>3</v>
      </c>
      <c r="O153">
        <f>CPS!P7</f>
        <v>3</v>
      </c>
      <c r="P153">
        <f>CPS!Q7</f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F0F82-0DFA-1E4B-A728-96791579F303}">
  <sheetPr>
    <tabColor theme="7"/>
  </sheetPr>
  <dimension ref="A1:Q79"/>
  <sheetViews>
    <sheetView workbookViewId="0">
      <selection activeCell="I147" sqref="I147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32</v>
      </c>
      <c r="B2" s="7" t="s">
        <v>16</v>
      </c>
      <c r="C2" s="8">
        <v>45</v>
      </c>
      <c r="D2" s="8">
        <v>45</v>
      </c>
      <c r="E2" s="8">
        <v>45</v>
      </c>
      <c r="F2" s="8">
        <v>48</v>
      </c>
      <c r="G2" s="8">
        <v>48</v>
      </c>
      <c r="H2" s="8">
        <v>48</v>
      </c>
      <c r="I2" s="8">
        <v>48</v>
      </c>
      <c r="J2" s="8">
        <v>48</v>
      </c>
      <c r="K2" s="8">
        <v>48</v>
      </c>
      <c r="L2" s="8">
        <v>48</v>
      </c>
      <c r="M2" s="8">
        <v>48</v>
      </c>
      <c r="N2" s="8">
        <v>48</v>
      </c>
      <c r="O2" s="8">
        <v>48</v>
      </c>
      <c r="P2" s="8">
        <v>48</v>
      </c>
      <c r="Q2" s="8">
        <v>48</v>
      </c>
    </row>
    <row r="3" spans="1:17" x14ac:dyDescent="0.2">
      <c r="A3" s="12" t="s">
        <v>32</v>
      </c>
      <c r="B3" s="9" t="s">
        <v>17</v>
      </c>
      <c r="C3" s="8">
        <v>47</v>
      </c>
      <c r="D3" s="8">
        <v>47</v>
      </c>
      <c r="E3" s="8">
        <v>47</v>
      </c>
      <c r="F3" s="8">
        <v>47</v>
      </c>
      <c r="G3" s="8">
        <v>47</v>
      </c>
      <c r="H3" s="8">
        <v>47</v>
      </c>
      <c r="I3" s="8">
        <v>47</v>
      </c>
      <c r="J3" s="8">
        <v>47</v>
      </c>
      <c r="K3" s="8">
        <v>47</v>
      </c>
      <c r="L3" s="8">
        <v>47</v>
      </c>
      <c r="M3" s="8">
        <v>47</v>
      </c>
      <c r="N3" s="8">
        <v>47</v>
      </c>
      <c r="O3" s="8">
        <v>47</v>
      </c>
      <c r="P3" s="8">
        <v>47</v>
      </c>
      <c r="Q3" s="8">
        <v>47</v>
      </c>
    </row>
    <row r="4" spans="1:17" x14ac:dyDescent="0.2">
      <c r="A4" s="13" t="s">
        <v>32</v>
      </c>
      <c r="B4" s="10" t="s">
        <v>18</v>
      </c>
      <c r="C4" s="8">
        <v>40</v>
      </c>
      <c r="D4" s="8">
        <v>42</v>
      </c>
      <c r="E4" s="8">
        <v>44</v>
      </c>
      <c r="F4" s="8">
        <v>45</v>
      </c>
      <c r="G4" s="8">
        <v>47</v>
      </c>
      <c r="H4" s="8">
        <v>44</v>
      </c>
      <c r="I4" s="8">
        <v>45</v>
      </c>
      <c r="J4" s="8">
        <v>45</v>
      </c>
      <c r="K4" s="8">
        <v>45</v>
      </c>
      <c r="L4" s="8">
        <v>42</v>
      </c>
      <c r="M4" s="8">
        <v>41</v>
      </c>
      <c r="N4" s="8">
        <v>41</v>
      </c>
      <c r="O4" s="8">
        <v>32</v>
      </c>
      <c r="P4" s="8">
        <v>32</v>
      </c>
      <c r="Q4" s="8">
        <v>32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0.89780000000000004</v>
      </c>
      <c r="D6" s="19">
        <v>0.94130000000000003</v>
      </c>
      <c r="E6" s="19">
        <v>0.98819999999999997</v>
      </c>
      <c r="F6" s="19">
        <v>0.94650000000000001</v>
      </c>
      <c r="G6" s="19">
        <v>0.97460000000000002</v>
      </c>
      <c r="H6" s="19">
        <v>0.91479999999999995</v>
      </c>
      <c r="I6" s="19">
        <v>0.93979999999999997</v>
      </c>
      <c r="J6" s="19">
        <v>0.92830000000000001</v>
      </c>
      <c r="K6" s="19">
        <v>0.93879999999999997</v>
      </c>
      <c r="L6" s="19">
        <v>0.86850000000000005</v>
      </c>
      <c r="M6" s="19">
        <v>0.85419999999999996</v>
      </c>
      <c r="N6" s="19">
        <v>0.85419999999999996</v>
      </c>
      <c r="O6" s="19">
        <v>0.65939999999999999</v>
      </c>
      <c r="P6" s="19">
        <v>0.65939999999999999</v>
      </c>
      <c r="Q6" s="19">
        <v>0.65939999999999999</v>
      </c>
    </row>
    <row r="7" spans="1:17" x14ac:dyDescent="0.2">
      <c r="A7" s="17"/>
      <c r="B7" s="18" t="s">
        <v>24</v>
      </c>
      <c r="C7" s="20">
        <v>5</v>
      </c>
      <c r="D7" s="20">
        <v>3</v>
      </c>
      <c r="E7" s="20">
        <v>1</v>
      </c>
      <c r="F7" s="20">
        <v>3</v>
      </c>
      <c r="G7" s="20">
        <v>1</v>
      </c>
      <c r="H7" s="20">
        <v>4</v>
      </c>
      <c r="I7" s="20">
        <v>3</v>
      </c>
      <c r="J7" s="20">
        <v>3</v>
      </c>
      <c r="K7" s="20">
        <v>3</v>
      </c>
      <c r="L7" s="20">
        <v>6</v>
      </c>
      <c r="M7" s="20">
        <v>7</v>
      </c>
      <c r="N7" s="20">
        <v>7</v>
      </c>
      <c r="O7" s="20">
        <v>16</v>
      </c>
      <c r="P7" s="20">
        <v>16</v>
      </c>
      <c r="Q7" s="20">
        <v>16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28</v>
      </c>
      <c r="D9" s="8">
        <v>28</v>
      </c>
      <c r="E9" s="8">
        <v>27</v>
      </c>
      <c r="F9" s="8">
        <v>28</v>
      </c>
      <c r="G9" s="8">
        <v>28</v>
      </c>
      <c r="H9" s="8">
        <v>28</v>
      </c>
      <c r="I9" s="8">
        <v>28</v>
      </c>
      <c r="J9" s="8">
        <v>28</v>
      </c>
      <c r="K9" s="8">
        <v>28</v>
      </c>
      <c r="L9" s="8">
        <v>28</v>
      </c>
      <c r="M9" s="8">
        <v>28</v>
      </c>
      <c r="N9" s="8">
        <v>28</v>
      </c>
      <c r="O9" s="8">
        <v>28</v>
      </c>
      <c r="P9" s="8">
        <v>28</v>
      </c>
      <c r="Q9" s="8">
        <v>28</v>
      </c>
    </row>
    <row r="10" spans="1:17" x14ac:dyDescent="0.2">
      <c r="A10" s="9" t="s">
        <v>17</v>
      </c>
      <c r="B10" s="12" t="s">
        <v>19</v>
      </c>
      <c r="C10" s="8">
        <v>28</v>
      </c>
      <c r="D10" s="8">
        <v>28</v>
      </c>
      <c r="E10" s="8">
        <v>28</v>
      </c>
      <c r="F10" s="8">
        <v>28</v>
      </c>
      <c r="G10" s="8">
        <v>28</v>
      </c>
      <c r="H10" s="8">
        <v>28</v>
      </c>
      <c r="I10" s="8">
        <v>28</v>
      </c>
      <c r="J10" s="8">
        <v>28</v>
      </c>
      <c r="K10" s="8">
        <v>28</v>
      </c>
      <c r="L10" s="8">
        <v>28</v>
      </c>
      <c r="M10" s="8">
        <v>28</v>
      </c>
      <c r="N10" s="8">
        <v>28</v>
      </c>
      <c r="O10" s="8">
        <v>28</v>
      </c>
      <c r="P10" s="8">
        <v>28</v>
      </c>
      <c r="Q10" s="8">
        <v>28</v>
      </c>
    </row>
    <row r="11" spans="1:17" x14ac:dyDescent="0.2">
      <c r="A11" s="16" t="s">
        <v>18</v>
      </c>
      <c r="B11" s="13" t="s">
        <v>19</v>
      </c>
      <c r="C11" s="8">
        <v>24</v>
      </c>
      <c r="D11" s="8">
        <v>26</v>
      </c>
      <c r="E11" s="8">
        <v>26</v>
      </c>
      <c r="F11" s="8">
        <v>27</v>
      </c>
      <c r="G11" s="8">
        <v>27</v>
      </c>
      <c r="H11" s="8">
        <v>25</v>
      </c>
      <c r="I11" s="8">
        <v>27</v>
      </c>
      <c r="J11" s="8">
        <v>26</v>
      </c>
      <c r="K11" s="8">
        <v>26</v>
      </c>
      <c r="L11" s="8">
        <v>25</v>
      </c>
      <c r="M11" s="8">
        <v>24</v>
      </c>
      <c r="N11" s="8">
        <v>24</v>
      </c>
      <c r="O11" s="8">
        <v>19</v>
      </c>
      <c r="P11" s="8">
        <v>19</v>
      </c>
      <c r="Q11" s="8">
        <v>19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17</v>
      </c>
      <c r="D13" s="8">
        <v>17</v>
      </c>
      <c r="E13" s="8">
        <v>17</v>
      </c>
      <c r="F13" s="8">
        <v>17</v>
      </c>
      <c r="G13" s="8">
        <v>17</v>
      </c>
      <c r="H13" s="8">
        <v>17</v>
      </c>
      <c r="I13" s="8">
        <v>17</v>
      </c>
      <c r="J13" s="8">
        <v>17</v>
      </c>
      <c r="K13" s="8">
        <v>17</v>
      </c>
      <c r="L13" s="8">
        <v>17</v>
      </c>
      <c r="M13" s="8">
        <v>17</v>
      </c>
      <c r="N13" s="8">
        <v>17</v>
      </c>
      <c r="O13" s="8">
        <v>17</v>
      </c>
      <c r="P13" s="8">
        <v>17</v>
      </c>
      <c r="Q13" s="8">
        <v>17</v>
      </c>
    </row>
    <row r="14" spans="1:17" x14ac:dyDescent="0.2">
      <c r="A14" s="9" t="s">
        <v>17</v>
      </c>
      <c r="B14" s="12" t="s">
        <v>20</v>
      </c>
      <c r="C14" s="8">
        <v>17</v>
      </c>
      <c r="D14" s="8">
        <v>17</v>
      </c>
      <c r="E14" s="8">
        <v>17</v>
      </c>
      <c r="F14" s="8">
        <v>17</v>
      </c>
      <c r="G14" s="8">
        <v>17</v>
      </c>
      <c r="H14" s="8">
        <v>17</v>
      </c>
      <c r="I14" s="8">
        <v>17</v>
      </c>
      <c r="J14" s="8">
        <v>17</v>
      </c>
      <c r="K14" s="8">
        <v>17</v>
      </c>
      <c r="L14" s="8">
        <v>17</v>
      </c>
      <c r="M14" s="8">
        <v>17</v>
      </c>
      <c r="N14" s="8">
        <v>17</v>
      </c>
      <c r="O14" s="8">
        <v>17</v>
      </c>
      <c r="P14" s="8">
        <v>17</v>
      </c>
      <c r="Q14" s="8">
        <v>17</v>
      </c>
    </row>
    <row r="15" spans="1:17" x14ac:dyDescent="0.2">
      <c r="A15" s="16" t="s">
        <v>18</v>
      </c>
      <c r="B15" s="13" t="s">
        <v>20</v>
      </c>
      <c r="C15" s="8">
        <v>16</v>
      </c>
      <c r="D15" s="8">
        <v>16</v>
      </c>
      <c r="E15" s="14">
        <v>18</v>
      </c>
      <c r="F15" s="8">
        <v>17</v>
      </c>
      <c r="G15" s="8">
        <v>17</v>
      </c>
      <c r="H15" s="8">
        <v>16</v>
      </c>
      <c r="I15" s="8">
        <v>16</v>
      </c>
      <c r="J15" s="8">
        <v>16</v>
      </c>
      <c r="K15" s="8">
        <v>16</v>
      </c>
      <c r="L15" s="8">
        <v>15</v>
      </c>
      <c r="M15" s="8">
        <v>15</v>
      </c>
      <c r="N15" s="8">
        <v>15</v>
      </c>
      <c r="O15" s="8">
        <v>13</v>
      </c>
      <c r="P15" s="8">
        <v>13</v>
      </c>
      <c r="Q15" s="8">
        <v>13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16</v>
      </c>
      <c r="B17" s="11" t="s">
        <v>21</v>
      </c>
      <c r="C17" s="8">
        <v>0</v>
      </c>
      <c r="D17" s="8">
        <v>0</v>
      </c>
      <c r="E17" s="8">
        <v>1</v>
      </c>
      <c r="F17" s="8">
        <v>3</v>
      </c>
      <c r="G17" s="8">
        <v>3</v>
      </c>
      <c r="H17" s="8">
        <v>3</v>
      </c>
      <c r="I17" s="8">
        <v>3</v>
      </c>
      <c r="J17" s="8">
        <v>3</v>
      </c>
      <c r="K17" s="8">
        <v>3</v>
      </c>
      <c r="L17" s="8">
        <v>3</v>
      </c>
      <c r="M17" s="8">
        <v>3</v>
      </c>
      <c r="N17" s="8">
        <v>3</v>
      </c>
      <c r="O17" s="8">
        <v>3</v>
      </c>
      <c r="P17" s="8">
        <v>3</v>
      </c>
      <c r="Q17" s="8">
        <v>3</v>
      </c>
    </row>
    <row r="18" spans="1:17" x14ac:dyDescent="0.2">
      <c r="A18" s="9" t="s">
        <v>17</v>
      </c>
      <c r="B18" s="12" t="s">
        <v>21</v>
      </c>
      <c r="C18" s="8">
        <v>2</v>
      </c>
      <c r="D18" s="8">
        <v>2</v>
      </c>
      <c r="E18" s="8">
        <v>2</v>
      </c>
      <c r="F18" s="8">
        <v>2</v>
      </c>
      <c r="G18" s="8">
        <v>2</v>
      </c>
      <c r="H18" s="8">
        <v>2</v>
      </c>
      <c r="I18" s="8">
        <v>2</v>
      </c>
      <c r="J18" s="8">
        <v>2</v>
      </c>
      <c r="K18" s="8">
        <v>2</v>
      </c>
      <c r="L18" s="8">
        <v>2</v>
      </c>
      <c r="M18" s="8">
        <v>2</v>
      </c>
      <c r="N18" s="8">
        <v>2</v>
      </c>
      <c r="O18" s="8">
        <v>2</v>
      </c>
      <c r="P18" s="8">
        <v>2</v>
      </c>
      <c r="Q18" s="8">
        <v>2</v>
      </c>
    </row>
    <row r="19" spans="1:17" x14ac:dyDescent="0.2">
      <c r="A19" s="16" t="s">
        <v>18</v>
      </c>
      <c r="B19" s="13" t="s">
        <v>21</v>
      </c>
      <c r="C19" s="8">
        <v>0</v>
      </c>
      <c r="D19" s="8">
        <v>0</v>
      </c>
      <c r="E19" s="8">
        <v>0</v>
      </c>
      <c r="F19" s="8">
        <v>1</v>
      </c>
      <c r="G19" s="8">
        <v>3</v>
      </c>
      <c r="H19" s="8">
        <v>3</v>
      </c>
      <c r="I19" s="8">
        <v>3</v>
      </c>
      <c r="J19" s="8">
        <v>3</v>
      </c>
      <c r="K19" s="8">
        <v>3</v>
      </c>
      <c r="L19" s="8">
        <v>2</v>
      </c>
      <c r="M19" s="8">
        <v>2</v>
      </c>
      <c r="N19" s="8">
        <v>2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32</v>
      </c>
      <c r="B32" s="7" t="s">
        <v>16</v>
      </c>
      <c r="C32" s="26">
        <v>45</v>
      </c>
      <c r="D32" s="21">
        <v>48</v>
      </c>
      <c r="E32" s="21">
        <v>48</v>
      </c>
      <c r="F32" s="21">
        <v>48</v>
      </c>
      <c r="G32" s="21">
        <v>48</v>
      </c>
    </row>
    <row r="33" spans="1:7" x14ac:dyDescent="0.2">
      <c r="A33" s="12" t="s">
        <v>32</v>
      </c>
      <c r="B33" s="9" t="s">
        <v>17</v>
      </c>
      <c r="C33" s="26">
        <v>47</v>
      </c>
      <c r="D33" s="21">
        <v>48</v>
      </c>
      <c r="E33" s="21">
        <v>48</v>
      </c>
      <c r="F33" s="21">
        <v>48</v>
      </c>
      <c r="G33" s="21">
        <v>48</v>
      </c>
    </row>
    <row r="34" spans="1:7" x14ac:dyDescent="0.2">
      <c r="A34" s="13" t="s">
        <v>32</v>
      </c>
      <c r="B34" s="10" t="s">
        <v>18</v>
      </c>
      <c r="C34" s="26">
        <v>42</v>
      </c>
      <c r="D34" s="21">
        <v>45</v>
      </c>
      <c r="E34" s="21">
        <v>45</v>
      </c>
      <c r="F34" s="21">
        <v>41</v>
      </c>
      <c r="G34" s="21">
        <v>38</v>
      </c>
    </row>
    <row r="35" spans="1:7" x14ac:dyDescent="0.2">
      <c r="A35" s="17"/>
      <c r="B35" s="8"/>
      <c r="C35" s="27">
        <v>5.7599999999999998E-2</v>
      </c>
      <c r="D35" s="28">
        <v>5.4699999999999999E-2</v>
      </c>
      <c r="E35" s="28">
        <v>6.4399999999999999E-2</v>
      </c>
      <c r="F35" s="28">
        <v>0.14099999999999999</v>
      </c>
      <c r="G35" s="28">
        <v>0.21079999999999999</v>
      </c>
    </row>
    <row r="36" spans="1:7" x14ac:dyDescent="0.2">
      <c r="A36" s="8"/>
      <c r="B36" s="18" t="s">
        <v>23</v>
      </c>
      <c r="C36" s="29">
        <v>0.94240000000000002</v>
      </c>
      <c r="D36" s="19">
        <v>0.94530000000000003</v>
      </c>
      <c r="E36" s="19">
        <v>0.93559999999999999</v>
      </c>
      <c r="F36" s="19">
        <v>0.85899999999999999</v>
      </c>
      <c r="G36" s="19">
        <v>0.78920000000000001</v>
      </c>
    </row>
    <row r="37" spans="1:7" x14ac:dyDescent="0.2">
      <c r="A37" s="17"/>
      <c r="B37" s="18" t="s">
        <v>24</v>
      </c>
      <c r="C37" s="30">
        <v>3</v>
      </c>
      <c r="D37" s="20">
        <v>3</v>
      </c>
      <c r="E37" s="20">
        <v>3</v>
      </c>
      <c r="F37" s="20">
        <v>7</v>
      </c>
      <c r="G37" s="20">
        <v>10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28</v>
      </c>
      <c r="D39" s="21">
        <v>28</v>
      </c>
      <c r="E39" s="21">
        <v>28</v>
      </c>
      <c r="F39" s="21">
        <v>28</v>
      </c>
      <c r="G39" s="21">
        <v>28</v>
      </c>
    </row>
    <row r="40" spans="1:7" x14ac:dyDescent="0.2">
      <c r="A40" s="9" t="s">
        <v>17</v>
      </c>
      <c r="B40" s="12" t="s">
        <v>19</v>
      </c>
      <c r="C40" s="26">
        <v>28</v>
      </c>
      <c r="D40" s="21">
        <v>28</v>
      </c>
      <c r="E40" s="21">
        <v>28</v>
      </c>
      <c r="F40" s="21">
        <v>28</v>
      </c>
      <c r="G40" s="21">
        <v>28</v>
      </c>
    </row>
    <row r="41" spans="1:7" x14ac:dyDescent="0.2">
      <c r="A41" s="16" t="s">
        <v>18</v>
      </c>
      <c r="B41" s="13" t="s">
        <v>19</v>
      </c>
      <c r="C41" s="26">
        <v>26</v>
      </c>
      <c r="D41" s="21">
        <v>27</v>
      </c>
      <c r="E41" s="21">
        <v>26</v>
      </c>
      <c r="F41" s="21">
        <v>24</v>
      </c>
      <c r="G41" s="21">
        <v>22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16</v>
      </c>
      <c r="B43" s="11" t="s">
        <v>20</v>
      </c>
      <c r="C43" s="26">
        <v>17</v>
      </c>
      <c r="D43" s="21">
        <v>17</v>
      </c>
      <c r="E43" s="21">
        <v>17</v>
      </c>
      <c r="F43" s="21">
        <v>17</v>
      </c>
      <c r="G43" s="21">
        <v>17</v>
      </c>
    </row>
    <row r="44" spans="1:7" x14ac:dyDescent="0.2">
      <c r="A44" s="9" t="s">
        <v>17</v>
      </c>
      <c r="B44" s="12" t="s">
        <v>20</v>
      </c>
      <c r="C44" s="26">
        <v>17</v>
      </c>
      <c r="D44" s="21">
        <v>17</v>
      </c>
      <c r="E44" s="21">
        <v>17</v>
      </c>
      <c r="F44" s="21">
        <v>17</v>
      </c>
      <c r="G44" s="21">
        <v>17</v>
      </c>
    </row>
    <row r="45" spans="1:7" x14ac:dyDescent="0.2">
      <c r="A45" s="16" t="s">
        <v>18</v>
      </c>
      <c r="B45" s="13" t="s">
        <v>20</v>
      </c>
      <c r="C45" s="26">
        <v>17</v>
      </c>
      <c r="D45" s="21">
        <v>17</v>
      </c>
      <c r="E45" s="21">
        <v>16</v>
      </c>
      <c r="F45" s="21">
        <v>15</v>
      </c>
      <c r="G45" s="21">
        <v>14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16</v>
      </c>
      <c r="B47" s="11" t="s">
        <v>21</v>
      </c>
      <c r="C47" s="26">
        <v>0</v>
      </c>
      <c r="D47" s="21">
        <v>3</v>
      </c>
      <c r="E47" s="21">
        <v>3</v>
      </c>
      <c r="F47" s="21">
        <v>3</v>
      </c>
      <c r="G47" s="21">
        <v>3</v>
      </c>
    </row>
    <row r="48" spans="1:7" x14ac:dyDescent="0.2">
      <c r="A48" s="9" t="s">
        <v>17</v>
      </c>
      <c r="B48" s="12" t="s">
        <v>21</v>
      </c>
      <c r="C48" s="26">
        <v>2</v>
      </c>
      <c r="D48" s="21">
        <v>2</v>
      </c>
      <c r="E48" s="21">
        <v>2</v>
      </c>
      <c r="F48" s="21">
        <v>2</v>
      </c>
      <c r="G48" s="21">
        <v>2</v>
      </c>
    </row>
    <row r="49" spans="1:17" x14ac:dyDescent="0.2">
      <c r="A49" s="16" t="s">
        <v>18</v>
      </c>
      <c r="B49" s="13" t="s">
        <v>21</v>
      </c>
      <c r="C49" s="26">
        <v>0</v>
      </c>
      <c r="D49" s="21">
        <v>2</v>
      </c>
      <c r="E49" s="21">
        <v>3</v>
      </c>
      <c r="F49" s="21">
        <v>2</v>
      </c>
      <c r="G49" s="21">
        <v>1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9" t="s">
        <v>16</v>
      </c>
      <c r="C62" s="35">
        <v>45</v>
      </c>
      <c r="D62" s="35">
        <v>45</v>
      </c>
      <c r="E62" s="35">
        <v>45</v>
      </c>
      <c r="F62" s="35">
        <v>48</v>
      </c>
      <c r="G62" s="35">
        <v>48</v>
      </c>
      <c r="H62" s="35">
        <v>48</v>
      </c>
      <c r="I62" s="35">
        <v>48</v>
      </c>
      <c r="J62" s="35">
        <v>48</v>
      </c>
      <c r="K62" s="35">
        <v>48</v>
      </c>
      <c r="L62" s="35">
        <v>48</v>
      </c>
      <c r="M62" s="35">
        <v>48</v>
      </c>
      <c r="N62" s="35">
        <v>48</v>
      </c>
      <c r="O62" s="35">
        <v>48</v>
      </c>
      <c r="P62" s="35">
        <v>48</v>
      </c>
      <c r="Q62" s="35">
        <v>48</v>
      </c>
    </row>
    <row r="63" spans="1:17" x14ac:dyDescent="0.2">
      <c r="A63" s="36"/>
      <c r="B63" s="37" t="s">
        <v>18</v>
      </c>
      <c r="C63" s="38">
        <v>40.4</v>
      </c>
      <c r="D63" s="38">
        <v>42.36</v>
      </c>
      <c r="E63" s="38">
        <v>44.47</v>
      </c>
      <c r="F63" s="38">
        <v>45.43</v>
      </c>
      <c r="G63" s="38">
        <v>46.78</v>
      </c>
      <c r="H63" s="38">
        <v>43.91</v>
      </c>
      <c r="I63" s="38">
        <v>45.11</v>
      </c>
      <c r="J63" s="38">
        <v>44.56</v>
      </c>
      <c r="K63" s="38">
        <v>45.06</v>
      </c>
      <c r="L63" s="38">
        <v>41.69</v>
      </c>
      <c r="M63" s="38">
        <v>41</v>
      </c>
      <c r="N63" s="38">
        <v>41</v>
      </c>
      <c r="O63" s="38">
        <v>31.65</v>
      </c>
      <c r="P63" s="38">
        <v>31.65</v>
      </c>
      <c r="Q63" s="38">
        <v>31.65</v>
      </c>
    </row>
    <row r="64" spans="1:17" x14ac:dyDescent="0.2">
      <c r="A64" s="15" t="s">
        <v>39</v>
      </c>
      <c r="B64" s="7" t="s">
        <v>16</v>
      </c>
      <c r="C64" s="15">
        <v>1</v>
      </c>
      <c r="D64" s="15">
        <v>1</v>
      </c>
      <c r="E64" s="15">
        <v>1</v>
      </c>
      <c r="F64" s="15">
        <v>1</v>
      </c>
      <c r="G64" s="15">
        <v>1</v>
      </c>
      <c r="H64" s="15">
        <v>1</v>
      </c>
      <c r="I64" s="15">
        <v>1</v>
      </c>
      <c r="J64" s="15">
        <v>1</v>
      </c>
      <c r="K64" s="15">
        <v>1</v>
      </c>
      <c r="L64" s="15">
        <v>1</v>
      </c>
      <c r="M64" s="15">
        <v>1</v>
      </c>
      <c r="N64" s="15">
        <v>1</v>
      </c>
      <c r="O64" s="15">
        <v>1</v>
      </c>
      <c r="P64" s="15">
        <v>1</v>
      </c>
      <c r="Q64" s="15">
        <v>1</v>
      </c>
    </row>
    <row r="65" spans="1:17" x14ac:dyDescent="0.2">
      <c r="A65" s="39" t="s">
        <v>39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15" t="s">
        <v>40</v>
      </c>
      <c r="B66" s="7" t="s">
        <v>16</v>
      </c>
      <c r="C66" s="15">
        <v>5</v>
      </c>
      <c r="D66" s="15">
        <v>5</v>
      </c>
      <c r="E66" s="15">
        <v>5</v>
      </c>
      <c r="F66" s="15">
        <v>6</v>
      </c>
      <c r="G66" s="15">
        <v>6</v>
      </c>
      <c r="H66" s="15">
        <v>6</v>
      </c>
      <c r="I66" s="15">
        <v>6</v>
      </c>
      <c r="J66" s="15">
        <v>6</v>
      </c>
      <c r="K66" s="15">
        <v>6</v>
      </c>
      <c r="L66" s="15">
        <v>6</v>
      </c>
      <c r="M66" s="15">
        <v>6</v>
      </c>
      <c r="N66" s="15">
        <v>6</v>
      </c>
      <c r="O66" s="15">
        <v>6</v>
      </c>
      <c r="P66" s="15">
        <v>6</v>
      </c>
      <c r="Q66" s="15">
        <v>6</v>
      </c>
    </row>
    <row r="67" spans="1:17" x14ac:dyDescent="0.2">
      <c r="A67" s="39" t="s">
        <v>40</v>
      </c>
      <c r="B67" s="10" t="s">
        <v>18</v>
      </c>
      <c r="C67" s="8">
        <v>5</v>
      </c>
      <c r="D67" s="8">
        <v>5</v>
      </c>
      <c r="E67" s="8">
        <v>5</v>
      </c>
      <c r="F67" s="8">
        <v>6</v>
      </c>
      <c r="G67" s="8">
        <v>6</v>
      </c>
      <c r="H67" s="8">
        <v>6</v>
      </c>
      <c r="I67" s="8">
        <v>6</v>
      </c>
      <c r="J67" s="8">
        <v>6</v>
      </c>
      <c r="K67" s="8">
        <v>6</v>
      </c>
      <c r="L67" s="8">
        <v>6</v>
      </c>
      <c r="M67" s="8">
        <v>6</v>
      </c>
      <c r="N67" s="8">
        <v>6</v>
      </c>
      <c r="O67" s="8">
        <v>6</v>
      </c>
      <c r="P67" s="8">
        <v>6</v>
      </c>
      <c r="Q67" s="8">
        <v>6</v>
      </c>
    </row>
    <row r="68" spans="1:17" x14ac:dyDescent="0.2">
      <c r="A68" s="42" t="s">
        <v>41</v>
      </c>
      <c r="B68" s="43" t="s">
        <v>16</v>
      </c>
      <c r="C68" s="43">
        <v>4</v>
      </c>
      <c r="D68" s="43">
        <v>4</v>
      </c>
      <c r="E68" s="43">
        <v>4</v>
      </c>
      <c r="F68" s="43">
        <v>5</v>
      </c>
      <c r="G68" s="43">
        <v>5</v>
      </c>
      <c r="H68" s="43">
        <v>5</v>
      </c>
      <c r="I68" s="43">
        <v>5</v>
      </c>
      <c r="J68" s="43">
        <v>5</v>
      </c>
      <c r="K68" s="43">
        <v>5</v>
      </c>
      <c r="L68" s="43">
        <v>5</v>
      </c>
      <c r="M68" s="43">
        <v>5</v>
      </c>
      <c r="N68" s="43">
        <v>5</v>
      </c>
      <c r="O68" s="43">
        <v>5</v>
      </c>
      <c r="P68" s="43">
        <v>5</v>
      </c>
      <c r="Q68" s="43">
        <v>5</v>
      </c>
    </row>
    <row r="69" spans="1:17" x14ac:dyDescent="0.2">
      <c r="A69" s="44" t="s">
        <v>42</v>
      </c>
      <c r="B69" s="45" t="s">
        <v>18</v>
      </c>
      <c r="C69" s="41">
        <v>4</v>
      </c>
      <c r="D69" s="41">
        <v>4</v>
      </c>
      <c r="E69" s="41">
        <v>4</v>
      </c>
      <c r="F69" s="41">
        <v>5</v>
      </c>
      <c r="G69" s="41">
        <v>5</v>
      </c>
      <c r="H69" s="41">
        <v>5</v>
      </c>
      <c r="I69" s="41">
        <v>5</v>
      </c>
      <c r="J69" s="41">
        <v>5</v>
      </c>
      <c r="K69" s="41">
        <v>5</v>
      </c>
      <c r="L69" s="41">
        <v>5</v>
      </c>
      <c r="M69" s="41">
        <v>5</v>
      </c>
      <c r="N69" s="41">
        <v>5</v>
      </c>
      <c r="O69" s="41">
        <v>5</v>
      </c>
      <c r="P69" s="41">
        <v>5</v>
      </c>
      <c r="Q69" s="41">
        <v>5</v>
      </c>
    </row>
    <row r="70" spans="1:17" x14ac:dyDescent="0.2">
      <c r="A70" s="42" t="s">
        <v>43</v>
      </c>
      <c r="B70" s="43" t="s">
        <v>16</v>
      </c>
      <c r="C70" s="43">
        <v>1</v>
      </c>
      <c r="D70" s="43">
        <v>1</v>
      </c>
      <c r="E70" s="43">
        <v>1</v>
      </c>
      <c r="F70" s="43">
        <v>1</v>
      </c>
      <c r="G70" s="43">
        <v>1</v>
      </c>
      <c r="H70" s="43">
        <v>1</v>
      </c>
      <c r="I70" s="43">
        <v>1</v>
      </c>
      <c r="J70" s="43">
        <v>1</v>
      </c>
      <c r="K70" s="43">
        <v>1</v>
      </c>
      <c r="L70" s="43">
        <v>1</v>
      </c>
      <c r="M70" s="43">
        <v>1</v>
      </c>
      <c r="N70" s="43">
        <v>1</v>
      </c>
      <c r="O70" s="43">
        <v>1</v>
      </c>
      <c r="P70" s="43">
        <v>1</v>
      </c>
      <c r="Q70" s="43">
        <v>1</v>
      </c>
    </row>
    <row r="71" spans="1:17" x14ac:dyDescent="0.2">
      <c r="A71" s="44" t="s">
        <v>44</v>
      </c>
      <c r="B71" s="45" t="s">
        <v>18</v>
      </c>
      <c r="C71" s="41">
        <v>1</v>
      </c>
      <c r="D71" s="41">
        <v>1</v>
      </c>
      <c r="E71" s="41">
        <v>1</v>
      </c>
      <c r="F71" s="41">
        <v>1</v>
      </c>
      <c r="G71" s="41">
        <v>1</v>
      </c>
      <c r="H71" s="41">
        <v>1</v>
      </c>
      <c r="I71" s="41">
        <v>1</v>
      </c>
      <c r="J71" s="41">
        <v>1</v>
      </c>
      <c r="K71" s="41">
        <v>1</v>
      </c>
      <c r="L71" s="41">
        <v>1</v>
      </c>
      <c r="M71" s="41">
        <v>1</v>
      </c>
      <c r="N71" s="41">
        <v>1</v>
      </c>
      <c r="O71" s="41">
        <v>1</v>
      </c>
      <c r="P71" s="41">
        <v>1</v>
      </c>
      <c r="Q71" s="41">
        <v>1</v>
      </c>
    </row>
    <row r="72" spans="1:17" x14ac:dyDescent="0.2">
      <c r="A72" s="15" t="s">
        <v>45</v>
      </c>
      <c r="B72" s="7" t="s">
        <v>16</v>
      </c>
      <c r="C72" s="15">
        <v>39</v>
      </c>
      <c r="D72" s="15">
        <v>39</v>
      </c>
      <c r="E72" s="15">
        <v>39</v>
      </c>
      <c r="F72" s="15">
        <v>41</v>
      </c>
      <c r="G72" s="15">
        <v>41</v>
      </c>
      <c r="H72" s="15">
        <v>41</v>
      </c>
      <c r="I72" s="15">
        <v>41</v>
      </c>
      <c r="J72" s="15">
        <v>41</v>
      </c>
      <c r="K72" s="15">
        <v>41</v>
      </c>
      <c r="L72" s="15">
        <v>41</v>
      </c>
      <c r="M72" s="15">
        <v>41</v>
      </c>
      <c r="N72" s="15">
        <v>41</v>
      </c>
      <c r="O72" s="15">
        <v>41</v>
      </c>
      <c r="P72" s="15">
        <v>41</v>
      </c>
      <c r="Q72" s="15">
        <v>41</v>
      </c>
    </row>
    <row r="73" spans="1:17" x14ac:dyDescent="0.2">
      <c r="A73" s="39" t="s">
        <v>45</v>
      </c>
      <c r="B73" s="10" t="s">
        <v>18</v>
      </c>
      <c r="C73" s="8">
        <v>34.4</v>
      </c>
      <c r="D73" s="8">
        <v>36.36</v>
      </c>
      <c r="E73" s="8">
        <v>38.47</v>
      </c>
      <c r="F73" s="8">
        <v>38.43</v>
      </c>
      <c r="G73" s="8">
        <v>39.78</v>
      </c>
      <c r="H73" s="8">
        <v>36.909999999999997</v>
      </c>
      <c r="I73" s="8">
        <v>38.11</v>
      </c>
      <c r="J73" s="8">
        <v>37.56</v>
      </c>
      <c r="K73" s="8">
        <v>38.06</v>
      </c>
      <c r="L73" s="8">
        <v>34.69</v>
      </c>
      <c r="M73" s="8">
        <v>34</v>
      </c>
      <c r="N73" s="8">
        <v>34</v>
      </c>
      <c r="O73" s="8">
        <v>24.65</v>
      </c>
      <c r="P73" s="8">
        <v>24.65</v>
      </c>
      <c r="Q73" s="8">
        <v>24.65</v>
      </c>
    </row>
    <row r="74" spans="1:17" x14ac:dyDescent="0.2">
      <c r="A74" s="42" t="s">
        <v>46</v>
      </c>
      <c r="B74" s="43" t="s">
        <v>16</v>
      </c>
      <c r="C74" s="43">
        <v>23</v>
      </c>
      <c r="D74" s="43">
        <v>23</v>
      </c>
      <c r="E74" s="43">
        <v>22</v>
      </c>
      <c r="F74" s="43">
        <v>22</v>
      </c>
      <c r="G74" s="43">
        <v>22</v>
      </c>
      <c r="H74" s="43">
        <v>22</v>
      </c>
      <c r="I74" s="43">
        <v>22</v>
      </c>
      <c r="J74" s="43">
        <v>22</v>
      </c>
      <c r="K74" s="43">
        <v>22</v>
      </c>
      <c r="L74" s="43">
        <v>22</v>
      </c>
      <c r="M74" s="43">
        <v>22</v>
      </c>
      <c r="N74" s="43">
        <v>22</v>
      </c>
      <c r="O74" s="43">
        <v>22</v>
      </c>
      <c r="P74" s="43">
        <v>22</v>
      </c>
      <c r="Q74" s="43">
        <v>22</v>
      </c>
    </row>
    <row r="75" spans="1:17" x14ac:dyDescent="0.2">
      <c r="A75" s="44" t="s">
        <v>47</v>
      </c>
      <c r="B75" s="45" t="s">
        <v>18</v>
      </c>
      <c r="C75" s="41">
        <v>19.399999999999999</v>
      </c>
      <c r="D75" s="41">
        <v>21.36</v>
      </c>
      <c r="E75" s="41">
        <v>21.47</v>
      </c>
      <c r="F75" s="41">
        <v>21.43</v>
      </c>
      <c r="G75" s="41">
        <v>21.28</v>
      </c>
      <c r="H75" s="41">
        <v>19.36</v>
      </c>
      <c r="I75" s="41">
        <v>20.51</v>
      </c>
      <c r="J75" s="41">
        <v>19.96</v>
      </c>
      <c r="K75" s="41">
        <v>19.96</v>
      </c>
      <c r="L75" s="41">
        <v>18.79</v>
      </c>
      <c r="M75" s="41">
        <v>18.100000000000001</v>
      </c>
      <c r="N75" s="41">
        <v>18.100000000000001</v>
      </c>
      <c r="O75" s="41">
        <v>13.15</v>
      </c>
      <c r="P75" s="41">
        <v>13.15</v>
      </c>
      <c r="Q75" s="41">
        <v>13.15</v>
      </c>
    </row>
    <row r="76" spans="1:17" x14ac:dyDescent="0.2">
      <c r="A76" s="42" t="s">
        <v>48</v>
      </c>
      <c r="B76" s="43" t="s">
        <v>16</v>
      </c>
      <c r="C76" s="43">
        <v>16</v>
      </c>
      <c r="D76" s="43">
        <v>16</v>
      </c>
      <c r="E76" s="43">
        <v>16</v>
      </c>
      <c r="F76" s="43">
        <v>16</v>
      </c>
      <c r="G76" s="43">
        <v>16</v>
      </c>
      <c r="H76" s="43">
        <v>16</v>
      </c>
      <c r="I76" s="43">
        <v>16</v>
      </c>
      <c r="J76" s="43">
        <v>16</v>
      </c>
      <c r="K76" s="43">
        <v>16</v>
      </c>
      <c r="L76" s="43">
        <v>16</v>
      </c>
      <c r="M76" s="43">
        <v>16</v>
      </c>
      <c r="N76" s="43">
        <v>16</v>
      </c>
      <c r="O76" s="43">
        <v>16</v>
      </c>
      <c r="P76" s="43">
        <v>16</v>
      </c>
      <c r="Q76" s="43">
        <v>16</v>
      </c>
    </row>
    <row r="77" spans="1:17" x14ac:dyDescent="0.2">
      <c r="A77" s="44" t="s">
        <v>49</v>
      </c>
      <c r="B77" s="45" t="s">
        <v>18</v>
      </c>
      <c r="C77" s="41">
        <v>15</v>
      </c>
      <c r="D77" s="41">
        <v>15</v>
      </c>
      <c r="E77" s="41">
        <v>17</v>
      </c>
      <c r="F77" s="41">
        <v>16</v>
      </c>
      <c r="G77" s="41">
        <v>16</v>
      </c>
      <c r="H77" s="41">
        <v>14.55</v>
      </c>
      <c r="I77" s="41">
        <v>14.6</v>
      </c>
      <c r="J77" s="41">
        <v>14.6</v>
      </c>
      <c r="K77" s="41">
        <v>15.1</v>
      </c>
      <c r="L77" s="41">
        <v>13.9</v>
      </c>
      <c r="M77" s="41">
        <v>13.9</v>
      </c>
      <c r="N77" s="41">
        <v>13.9</v>
      </c>
      <c r="O77" s="41">
        <v>11.5</v>
      </c>
      <c r="P77" s="41">
        <v>11.5</v>
      </c>
      <c r="Q77" s="41">
        <v>11.5</v>
      </c>
    </row>
    <row r="78" spans="1:17" x14ac:dyDescent="0.2">
      <c r="A78" s="42" t="s">
        <v>50</v>
      </c>
      <c r="B78" s="43" t="s">
        <v>16</v>
      </c>
      <c r="C78" s="43">
        <v>0</v>
      </c>
      <c r="D78" s="43">
        <v>0</v>
      </c>
      <c r="E78" s="43">
        <v>1</v>
      </c>
      <c r="F78" s="43">
        <v>3</v>
      </c>
      <c r="G78" s="43">
        <v>3</v>
      </c>
      <c r="H78" s="43">
        <v>3</v>
      </c>
      <c r="I78" s="43">
        <v>3</v>
      </c>
      <c r="J78" s="43">
        <v>3</v>
      </c>
      <c r="K78" s="43">
        <v>3</v>
      </c>
      <c r="L78" s="43">
        <v>3</v>
      </c>
      <c r="M78" s="43">
        <v>3</v>
      </c>
      <c r="N78" s="43">
        <v>3</v>
      </c>
      <c r="O78" s="43">
        <v>3</v>
      </c>
      <c r="P78" s="43">
        <v>3</v>
      </c>
      <c r="Q78" s="43">
        <v>3</v>
      </c>
    </row>
    <row r="79" spans="1:17" x14ac:dyDescent="0.2">
      <c r="A79" s="44" t="s">
        <v>51</v>
      </c>
      <c r="B79" s="45" t="s">
        <v>18</v>
      </c>
      <c r="C79" s="41">
        <v>0</v>
      </c>
      <c r="D79" s="41">
        <v>0</v>
      </c>
      <c r="E79" s="41">
        <v>0</v>
      </c>
      <c r="F79" s="41">
        <v>1</v>
      </c>
      <c r="G79" s="41">
        <v>2.5</v>
      </c>
      <c r="H79" s="41">
        <v>3</v>
      </c>
      <c r="I79" s="41">
        <v>3</v>
      </c>
      <c r="J79" s="41">
        <v>3</v>
      </c>
      <c r="K79" s="41">
        <v>3</v>
      </c>
      <c r="L79" s="41">
        <v>2</v>
      </c>
      <c r="M79" s="41">
        <v>2</v>
      </c>
      <c r="N79" s="41">
        <v>2</v>
      </c>
      <c r="O79" s="41">
        <v>0</v>
      </c>
      <c r="P79" s="41">
        <v>0</v>
      </c>
      <c r="Q79" s="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C1373-E770-0140-BF3F-1CD6E7CFCFB4}">
  <sheetPr>
    <tabColor theme="7" tint="0.79998168889431442"/>
  </sheetPr>
  <dimension ref="A1:P153"/>
  <sheetViews>
    <sheetView topLeftCell="A135" workbookViewId="0">
      <selection activeCell="A151" sqref="A151:XFD153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IF(PSE!C1&gt;0,PSE!C1,"")</f>
        <v>JAN</v>
      </c>
      <c r="C1" t="str">
        <f>IF(PSE!D1&gt;0,PSE!D1,"")</f>
        <v>FEB</v>
      </c>
      <c r="D1" t="str">
        <f>IF(PSE!E1&gt;0,PSE!E1,"")</f>
        <v>MAR</v>
      </c>
      <c r="E1" t="str">
        <f>IF(PSE!F1&gt;0,PSE!F1,"")</f>
        <v>APR</v>
      </c>
      <c r="F1" t="str">
        <f>IF(PSE!G1&gt;0,PSE!G1,"")</f>
        <v>MAY</v>
      </c>
      <c r="G1" t="str">
        <f>IF(PSE!H1&gt;0,PSE!H1,"")</f>
        <v>JUN</v>
      </c>
      <c r="H1" t="str">
        <f>IF(PSE!I1&gt;0,PSE!I1,"")</f>
        <v>JUL</v>
      </c>
      <c r="I1" t="str">
        <f>IF(PSE!J1&gt;0,PSE!J1,"")</f>
        <v>AUG</v>
      </c>
      <c r="J1" t="str">
        <f>IF(PSE!K1&gt;0,PSE!K1,"")</f>
        <v>SEP</v>
      </c>
      <c r="K1" t="str">
        <f>IF(PSE!L1&gt;0,PSE!L1,"")</f>
        <v>OCT</v>
      </c>
      <c r="L1" t="str">
        <f>IF(PSE!M1&gt;0,PSE!M1,"")</f>
        <v>NOV</v>
      </c>
      <c r="M1" t="str">
        <f>IF(PSE!N1&gt;0,PSE!N1,"")</f>
        <v>DEC</v>
      </c>
      <c r="N1" t="str">
        <f>IF(PSE!O1&gt;0,PSE!O1,"")</f>
        <v>JAN'27</v>
      </c>
      <c r="O1" t="str">
        <f>IF(PSE!P1&gt;0,PSE!P1,"")</f>
        <v>FEB'27</v>
      </c>
      <c r="P1" t="str">
        <f>IF(PSE!Q1&gt;0,PSE!Q1,"")</f>
        <v>MAR'27</v>
      </c>
    </row>
    <row r="2" spans="1:16" x14ac:dyDescent="0.2">
      <c r="A2" t="str">
        <f>IF(PSE!B2&gt;0,PSE!B2,"")</f>
        <v>Staff</v>
      </c>
      <c r="B2">
        <f>IF(PSE!C2&gt;0,PSE!C2,"")</f>
        <v>45</v>
      </c>
      <c r="C2">
        <f>IF(PSE!D2&gt;0,PSE!D2,"")</f>
        <v>45</v>
      </c>
      <c r="D2">
        <f>IF(PSE!E2&gt;0,PSE!E2,"")</f>
        <v>45</v>
      </c>
      <c r="E2">
        <f>IF(PSE!F2&gt;0,PSE!F2,"")</f>
        <v>48</v>
      </c>
      <c r="F2">
        <f>IF(PSE!G2&gt;0,PSE!G2,"")</f>
        <v>48</v>
      </c>
      <c r="G2">
        <f>IF(PSE!H2&gt;0,PSE!H2,"")</f>
        <v>48</v>
      </c>
      <c r="H2">
        <f>IF(PSE!I2&gt;0,PSE!I2,"")</f>
        <v>48</v>
      </c>
      <c r="I2">
        <f>IF(PSE!J2&gt;0,PSE!J2,"")</f>
        <v>48</v>
      </c>
      <c r="J2">
        <f>IF(PSE!K2&gt;0,PSE!K2,"")</f>
        <v>48</v>
      </c>
      <c r="K2">
        <f>IF(PSE!L2&gt;0,PSE!L2,"")</f>
        <v>48</v>
      </c>
      <c r="L2">
        <f>IF(PSE!M2&gt;0,PSE!M2,"")</f>
        <v>48</v>
      </c>
      <c r="M2">
        <f>IF(PSE!N2&gt;0,PSE!N2,"")</f>
        <v>48</v>
      </c>
      <c r="N2">
        <f>IF(PSE!O2&gt;0,PSE!O2,"")</f>
        <v>48</v>
      </c>
      <c r="O2">
        <f>IF(PSE!P2&gt;0,PSE!P2,"")</f>
        <v>48</v>
      </c>
      <c r="P2">
        <f>IF(PSE!Q2&gt;0,PSE!Q2,"")</f>
        <v>48</v>
      </c>
    </row>
    <row r="3" spans="1:16" x14ac:dyDescent="0.2">
      <c r="A3" t="str">
        <f>IF(PSE!B3&gt;0,PSE!B3,"")</f>
        <v>Staff AVG</v>
      </c>
      <c r="B3">
        <f>IF(PSE!C3&gt;0,PSE!C3,"")</f>
        <v>47</v>
      </c>
      <c r="C3">
        <f>IF(PSE!D3&gt;0,PSE!D3,"")</f>
        <v>47</v>
      </c>
      <c r="D3">
        <f>IF(PSE!E3&gt;0,PSE!E3,"")</f>
        <v>47</v>
      </c>
      <c r="E3">
        <f>IF(PSE!F3&gt;0,PSE!F3,"")</f>
        <v>47</v>
      </c>
      <c r="F3">
        <f>IF(PSE!G3&gt;0,PSE!G3,"")</f>
        <v>47</v>
      </c>
      <c r="G3">
        <f>IF(PSE!H3&gt;0,PSE!H3,"")</f>
        <v>47</v>
      </c>
      <c r="H3">
        <f>IF(PSE!I3&gt;0,PSE!I3,"")</f>
        <v>47</v>
      </c>
      <c r="I3">
        <f>IF(PSE!J3&gt;0,PSE!J3,"")</f>
        <v>47</v>
      </c>
      <c r="J3">
        <f>IF(PSE!K3&gt;0,PSE!K3,"")</f>
        <v>47</v>
      </c>
      <c r="K3">
        <f>IF(PSE!L3&gt;0,PSE!L3,"")</f>
        <v>47</v>
      </c>
      <c r="L3">
        <f>IF(PSE!M3&gt;0,PSE!M3,"")</f>
        <v>47</v>
      </c>
      <c r="M3">
        <f>IF(PSE!N3&gt;0,PSE!N3,"")</f>
        <v>47</v>
      </c>
      <c r="N3">
        <f>IF(PSE!O3&gt;0,PSE!O3,"")</f>
        <v>47</v>
      </c>
      <c r="O3">
        <f>IF(PSE!P3&gt;0,PSE!P3,"")</f>
        <v>47</v>
      </c>
      <c r="P3">
        <f>IF(PSE!Q3&gt;0,PSE!Q3,"")</f>
        <v>47</v>
      </c>
    </row>
    <row r="4" spans="1:16" x14ac:dyDescent="0.2">
      <c r="A4" t="str">
        <f>IF(PSE!B4&gt;0,PSE!B4,"")</f>
        <v>Plan</v>
      </c>
      <c r="B4">
        <f>IF(PSE!C4&gt;0,PSE!C4,"")</f>
        <v>40</v>
      </c>
      <c r="C4">
        <f>IF(PSE!D4&gt;0,PSE!D4,"")</f>
        <v>42</v>
      </c>
      <c r="D4">
        <f>IF(PSE!E4&gt;0,PSE!E4,"")</f>
        <v>44</v>
      </c>
      <c r="E4">
        <f>IF(PSE!F4&gt;0,PSE!F4,"")</f>
        <v>45</v>
      </c>
      <c r="F4">
        <f>IF(PSE!G4&gt;0,PSE!G4,"")</f>
        <v>47</v>
      </c>
      <c r="G4">
        <f>IF(PSE!H4&gt;0,PSE!H4,"")</f>
        <v>44</v>
      </c>
      <c r="H4">
        <f>IF(PSE!I4&gt;0,PSE!I4,"")</f>
        <v>45</v>
      </c>
      <c r="I4">
        <f>IF(PSE!J4&gt;0,PSE!J4,"")</f>
        <v>45</v>
      </c>
      <c r="J4">
        <f>IF(PSE!K4&gt;0,PSE!K4,"")</f>
        <v>45</v>
      </c>
      <c r="K4">
        <f>IF(PSE!L4&gt;0,PSE!L4,"")</f>
        <v>42</v>
      </c>
      <c r="L4">
        <f>IF(PSE!M4&gt;0,PSE!M4,"")</f>
        <v>41</v>
      </c>
      <c r="M4">
        <f>IF(PSE!N4&gt;0,PSE!N4,"")</f>
        <v>41</v>
      </c>
      <c r="N4">
        <f>IF(PSE!O4&gt;0,PSE!O4,"")</f>
        <v>32</v>
      </c>
      <c r="O4">
        <f>IF(PSE!P4&gt;0,PSE!P4,"")</f>
        <v>32</v>
      </c>
      <c r="P4">
        <f>IF(PSE!Q4&gt;0,PSE!Q4,"")</f>
        <v>32</v>
      </c>
    </row>
    <row r="5" spans="1:16" x14ac:dyDescent="0.2">
      <c r="A5" t="str">
        <f>IF(PSE!B11&gt;0,PSE!B11,"")</f>
        <v>PAYROLL</v>
      </c>
      <c r="B5">
        <f>IF(PSE!C11&gt;0,PSE!C11,"")</f>
        <v>24</v>
      </c>
      <c r="C5">
        <f>IF(PSE!D11&gt;0,PSE!D11,"")</f>
        <v>26</v>
      </c>
      <c r="D5">
        <f>IF(PSE!E11&gt;0,PSE!E11,"")</f>
        <v>26</v>
      </c>
      <c r="E5">
        <f>IF(PSE!F11&gt;0,PSE!F11,"")</f>
        <v>27</v>
      </c>
      <c r="F5">
        <f>IF(PSE!G11&gt;0,PSE!G11,"")</f>
        <v>27</v>
      </c>
      <c r="G5">
        <f>IF(PSE!H11&gt;0,PSE!H11,"")</f>
        <v>25</v>
      </c>
      <c r="H5">
        <f>IF(PSE!I11&gt;0,PSE!I11,"")</f>
        <v>27</v>
      </c>
      <c r="I5">
        <f>IF(PSE!J11&gt;0,PSE!J11,"")</f>
        <v>26</v>
      </c>
      <c r="J5">
        <f>IF(PSE!K11&gt;0,PSE!K11,"")</f>
        <v>26</v>
      </c>
      <c r="K5">
        <f>IF(PSE!L11&gt;0,PSE!L11,"")</f>
        <v>25</v>
      </c>
      <c r="L5">
        <f>IF(PSE!M11&gt;0,PSE!M11,"")</f>
        <v>24</v>
      </c>
      <c r="M5">
        <f>IF(PSE!N11&gt;0,PSE!N11,"")</f>
        <v>24</v>
      </c>
      <c r="N5">
        <f>IF(PSE!O11&gt;0,PSE!O11,"")</f>
        <v>19</v>
      </c>
      <c r="O5">
        <f>IF(PSE!P11&gt;0,PSE!P11,"")</f>
        <v>19</v>
      </c>
      <c r="P5">
        <f>IF(PSE!Q11&gt;0,PSE!Q11,"")</f>
        <v>19</v>
      </c>
    </row>
    <row r="6" spans="1:16" x14ac:dyDescent="0.2">
      <c r="A6" t="str">
        <f>IF(PSE!B15&gt;0,PSE!B15,"")</f>
        <v>CONTRACTOR</v>
      </c>
      <c r="B6">
        <f>IF(PSE!C15&gt;0,PSE!C15,"")</f>
        <v>16</v>
      </c>
      <c r="C6">
        <f>IF(PSE!D15&gt;0,PSE!D15,"")</f>
        <v>16</v>
      </c>
      <c r="D6">
        <f>IF(PSE!E15&gt;0,PSE!E15,"")</f>
        <v>18</v>
      </c>
      <c r="E6">
        <f>IF(PSE!F15&gt;0,PSE!F15,"")</f>
        <v>17</v>
      </c>
      <c r="F6">
        <f>IF(PSE!G15&gt;0,PSE!G15,"")</f>
        <v>17</v>
      </c>
      <c r="G6">
        <f>IF(PSE!H15&gt;0,PSE!H15,"")</f>
        <v>16</v>
      </c>
      <c r="H6">
        <f>IF(PSE!I15&gt;0,PSE!I15,"")</f>
        <v>16</v>
      </c>
      <c r="I6">
        <f>IF(PSE!J15&gt;0,PSE!J15,"")</f>
        <v>16</v>
      </c>
      <c r="J6">
        <f>IF(PSE!K15&gt;0,PSE!K15,"")</f>
        <v>16</v>
      </c>
      <c r="K6">
        <f>IF(PSE!L15&gt;0,PSE!L15,"")</f>
        <v>15</v>
      </c>
      <c r="L6">
        <f>IF(PSE!M15&gt;0,PSE!M15,"")</f>
        <v>15</v>
      </c>
      <c r="M6">
        <f>IF(PSE!N15&gt;0,PSE!N15,"")</f>
        <v>15</v>
      </c>
      <c r="N6">
        <f>IF(PSE!O15&gt;0,PSE!O15,"")</f>
        <v>13</v>
      </c>
      <c r="O6">
        <f>IF(PSE!P15&gt;0,PSE!P15,"")</f>
        <v>13</v>
      </c>
      <c r="P6">
        <f>IF(PSE!Q15&gt;0,PSE!Q15,"")</f>
        <v>13</v>
      </c>
    </row>
    <row r="7" spans="1:16" x14ac:dyDescent="0.2">
      <c r="A7" t="str">
        <f>IF(PSE!B19&gt;0,PSE!B19,"")</f>
        <v>OUTSOURCE</v>
      </c>
      <c r="B7" t="str">
        <f>IF(PSE!C19&gt;0,PSE!C19,"")</f>
        <v/>
      </c>
      <c r="C7" t="str">
        <f>IF(PSE!D19&gt;0,PSE!D19,"")</f>
        <v/>
      </c>
      <c r="D7" t="str">
        <f>IF(PSE!E19&gt;0,PSE!E19,"")</f>
        <v/>
      </c>
      <c r="E7">
        <f>IF(PSE!F19&gt;0,PSE!F19,"")</f>
        <v>1</v>
      </c>
      <c r="F7">
        <f>IF(PSE!G19&gt;0,PSE!G19,"")</f>
        <v>3</v>
      </c>
      <c r="G7">
        <f>IF(PSE!H19&gt;0,PSE!H19,"")</f>
        <v>3</v>
      </c>
      <c r="H7">
        <f>IF(PSE!I19&gt;0,PSE!I19,"")</f>
        <v>3</v>
      </c>
      <c r="I7">
        <f>IF(PSE!J19&gt;0,PSE!J19,"")</f>
        <v>3</v>
      </c>
      <c r="J7">
        <f>IF(PSE!K19&gt;0,PSE!K19,"")</f>
        <v>3</v>
      </c>
      <c r="K7">
        <f>IF(PSE!L19&gt;0,PSE!L19,"")</f>
        <v>2</v>
      </c>
      <c r="L7">
        <f>IF(PSE!M19&gt;0,PSE!M19,"")</f>
        <v>2</v>
      </c>
      <c r="M7">
        <f>IF(PSE!N19&gt;0,PSE!N19,"")</f>
        <v>2</v>
      </c>
      <c r="N7" t="str">
        <f>IF(PSE!O19&gt;0,PSE!O19,"")</f>
        <v/>
      </c>
      <c r="O7" t="str">
        <f>IF(PSE!P19&gt;0,PSE!P19,"")</f>
        <v/>
      </c>
      <c r="P7" t="str">
        <f>IF(PSE!Q19&gt;0,PSE!Q19,"")</f>
        <v/>
      </c>
    </row>
    <row r="11" spans="1:16" x14ac:dyDescent="0.2">
      <c r="B11" t="str">
        <f>IF(PSE!C1&gt;0,PSE!C1,"")</f>
        <v>JAN</v>
      </c>
      <c r="C11" t="str">
        <f>IF(PSE!D1&gt;0,PSE!D1,"")</f>
        <v>FEB</v>
      </c>
      <c r="D11" t="str">
        <f>IF(PSE!E1&gt;0,PSE!E1,"")</f>
        <v>MAR</v>
      </c>
      <c r="E11" t="str">
        <f>IF(PSE!F1&gt;0,PSE!F1,"")</f>
        <v>APR</v>
      </c>
      <c r="F11" t="str">
        <f>IF(PSE!G1&gt;0,PSE!G1,"")</f>
        <v>MAY</v>
      </c>
      <c r="G11" t="str">
        <f>IF(PSE!H1&gt;0,PSE!H1,"")</f>
        <v>JUN</v>
      </c>
      <c r="H11" t="str">
        <f>IF(PSE!I1&gt;0,PSE!I1,"")</f>
        <v>JUL</v>
      </c>
      <c r="I11" t="str">
        <f>IF(PSE!J1&gt;0,PSE!J1,"")</f>
        <v>AUG</v>
      </c>
      <c r="J11" t="str">
        <f>IF(PSE!K1&gt;0,PSE!K1,"")</f>
        <v>SEP</v>
      </c>
      <c r="K11" t="str">
        <f>IF(PSE!L1&gt;0,PSE!L1,"")</f>
        <v>OCT</v>
      </c>
      <c r="L11" t="str">
        <f>IF(PSE!M1&gt;0,PSE!M1,"")</f>
        <v>NOV</v>
      </c>
      <c r="M11" t="str">
        <f>IF(PSE!N1&gt;0,PSE!N1,"")</f>
        <v>DEC</v>
      </c>
      <c r="N11" t="str">
        <f>IF(PSE!O1&gt;0,PSE!O1,"")</f>
        <v>JAN'27</v>
      </c>
      <c r="O11" t="str">
        <f>IF(PSE!P1&gt;0,PSE!P1,"")</f>
        <v>FEB'27</v>
      </c>
      <c r="P11" t="str">
        <f>IF(PSE!Q1&gt;0,PSE!Q1,"")</f>
        <v>MAR'27</v>
      </c>
    </row>
    <row r="12" spans="1:16" x14ac:dyDescent="0.2">
      <c r="A12" t="str">
        <f>IF(PSE!B2&gt;0,PSE!B2,"")</f>
        <v>Staff</v>
      </c>
      <c r="B12">
        <f>IF(PSE!C9&gt;0,PSE!C9,"")</f>
        <v>28</v>
      </c>
      <c r="C12">
        <f>IF(PSE!D9&gt;0,PSE!D9,"")</f>
        <v>28</v>
      </c>
      <c r="D12">
        <f>IF(PSE!E9&gt;0,PSE!E9,"")</f>
        <v>27</v>
      </c>
      <c r="E12">
        <f>IF(PSE!F9&gt;0,PSE!F9,"")</f>
        <v>28</v>
      </c>
      <c r="F12">
        <f>IF(PSE!G9&gt;0,PSE!G9,"")</f>
        <v>28</v>
      </c>
      <c r="G12">
        <f>IF(PSE!H9&gt;0,PSE!H9,"")</f>
        <v>28</v>
      </c>
      <c r="H12">
        <f>IF(PSE!I9&gt;0,PSE!I9,"")</f>
        <v>28</v>
      </c>
      <c r="I12">
        <f>IF(PSE!J9&gt;0,PSE!J9,"")</f>
        <v>28</v>
      </c>
      <c r="J12">
        <f>IF(PSE!K9&gt;0,PSE!K9,"")</f>
        <v>28</v>
      </c>
      <c r="K12">
        <f>IF(PSE!L9&gt;0,PSE!L9,"")</f>
        <v>28</v>
      </c>
      <c r="L12">
        <f>IF(PSE!M9&gt;0,PSE!M9,"")</f>
        <v>28</v>
      </c>
      <c r="M12">
        <f>IF(PSE!N9&gt;0,PSE!N9,"")</f>
        <v>28</v>
      </c>
      <c r="N12">
        <f>IF(PSE!O9&gt;0,PSE!O9,"")</f>
        <v>28</v>
      </c>
      <c r="O12">
        <f>IF(PSE!P9&gt;0,PSE!P9,"")</f>
        <v>28</v>
      </c>
      <c r="P12">
        <f>IF(PSE!Q9&gt;0,PSE!Q9,"")</f>
        <v>28</v>
      </c>
    </row>
    <row r="13" spans="1:16" x14ac:dyDescent="0.2">
      <c r="A13" t="str">
        <f>IF(PSE!B3&gt;0,PSE!B3,"")</f>
        <v>Staff AVG</v>
      </c>
      <c r="B13">
        <f>IF(PSE!C10&gt;0,PSE!C10,"")</f>
        <v>28</v>
      </c>
      <c r="C13">
        <f>IF(PSE!D10&gt;0,PSE!D10,"")</f>
        <v>28</v>
      </c>
      <c r="D13">
        <f>IF(PSE!E10&gt;0,PSE!E10,"")</f>
        <v>28</v>
      </c>
      <c r="E13">
        <f>IF(PSE!F10&gt;0,PSE!F10,"")</f>
        <v>28</v>
      </c>
      <c r="F13">
        <f>IF(PSE!G10&gt;0,PSE!G10,"")</f>
        <v>28</v>
      </c>
      <c r="G13">
        <f>IF(PSE!H10&gt;0,PSE!H10,"")</f>
        <v>28</v>
      </c>
      <c r="H13">
        <f>IF(PSE!I10&gt;0,PSE!I10,"")</f>
        <v>28</v>
      </c>
      <c r="I13">
        <f>IF(PSE!J10&gt;0,PSE!J10,"")</f>
        <v>28</v>
      </c>
      <c r="J13">
        <f>IF(PSE!K10&gt;0,PSE!K10,"")</f>
        <v>28</v>
      </c>
      <c r="K13">
        <f>IF(PSE!L10&gt;0,PSE!L10,"")</f>
        <v>28</v>
      </c>
      <c r="L13">
        <f>IF(PSE!M10&gt;0,PSE!M10,"")</f>
        <v>28</v>
      </c>
      <c r="M13">
        <f>IF(PSE!N10&gt;0,PSE!N10,"")</f>
        <v>28</v>
      </c>
      <c r="N13">
        <f>IF(PSE!O10&gt;0,PSE!O10,"")</f>
        <v>28</v>
      </c>
      <c r="O13">
        <f>IF(PSE!P10&gt;0,PSE!P10,"")</f>
        <v>28</v>
      </c>
      <c r="P13">
        <f>IF(PSE!Q10&gt;0,PSE!Q10,"")</f>
        <v>28</v>
      </c>
    </row>
    <row r="14" spans="1:16" x14ac:dyDescent="0.2">
      <c r="A14" t="str">
        <f>IF(PSE!B4&gt;0,PSE!B4,"")</f>
        <v>Plan</v>
      </c>
      <c r="B14">
        <f>IF(PSE!C11&gt;0,PSE!C11,"")</f>
        <v>24</v>
      </c>
      <c r="C14">
        <f>IF(PSE!D11&gt;0,PSE!D11,"")</f>
        <v>26</v>
      </c>
      <c r="D14">
        <f>IF(PSE!E11&gt;0,PSE!E11,"")</f>
        <v>26</v>
      </c>
      <c r="E14">
        <f>IF(PSE!F11&gt;0,PSE!F11,"")</f>
        <v>27</v>
      </c>
      <c r="F14">
        <f>IF(PSE!G11&gt;0,PSE!G11,"")</f>
        <v>27</v>
      </c>
      <c r="G14">
        <f>IF(PSE!H11&gt;0,PSE!H11,"")</f>
        <v>25</v>
      </c>
      <c r="H14">
        <f>IF(PSE!I11&gt;0,PSE!I11,"")</f>
        <v>27</v>
      </c>
      <c r="I14">
        <f>IF(PSE!J11&gt;0,PSE!J11,"")</f>
        <v>26</v>
      </c>
      <c r="J14">
        <f>IF(PSE!K11&gt;0,PSE!K11,"")</f>
        <v>26</v>
      </c>
      <c r="K14">
        <f>IF(PSE!L11&gt;0,PSE!L11,"")</f>
        <v>25</v>
      </c>
      <c r="L14">
        <f>IF(PSE!M11&gt;0,PSE!M11,"")</f>
        <v>24</v>
      </c>
      <c r="M14">
        <f>IF(PSE!N11&gt;0,PSE!N11,"")</f>
        <v>24</v>
      </c>
      <c r="N14">
        <f>IF(PSE!O11&gt;0,PSE!O11,"")</f>
        <v>19</v>
      </c>
      <c r="O14">
        <f>IF(PSE!P11&gt;0,PSE!P11,"")</f>
        <v>19</v>
      </c>
      <c r="P14">
        <f>IF(PSE!Q11&gt;0,PSE!Q11,"")</f>
        <v>19</v>
      </c>
    </row>
    <row r="21" spans="1:16" x14ac:dyDescent="0.2">
      <c r="B21" t="str">
        <f>IF(PSE!C1&gt;0,PSE!C1,"")</f>
        <v>JAN</v>
      </c>
      <c r="C21" t="str">
        <f>IF(PSE!D1&gt;0,PSE!D1,"")</f>
        <v>FEB</v>
      </c>
      <c r="D21" t="str">
        <f>IF(PSE!E1&gt;0,PSE!E1,"")</f>
        <v>MAR</v>
      </c>
      <c r="E21" t="str">
        <f>IF(PSE!F1&gt;0,PSE!F1,"")</f>
        <v>APR</v>
      </c>
      <c r="F21" t="str">
        <f>IF(PSE!G1&gt;0,PSE!G1,"")</f>
        <v>MAY</v>
      </c>
      <c r="G21" t="str">
        <f>IF(PSE!H1&gt;0,PSE!H1,"")</f>
        <v>JUN</v>
      </c>
      <c r="H21" t="str">
        <f>IF(PSE!I1&gt;0,PSE!I1,"")</f>
        <v>JUL</v>
      </c>
      <c r="I21" t="str">
        <f>IF(PSE!J1&gt;0,PSE!J1,"")</f>
        <v>AUG</v>
      </c>
      <c r="J21" t="str">
        <f>IF(PSE!K1&gt;0,PSE!K1,"")</f>
        <v>SEP</v>
      </c>
      <c r="K21" t="str">
        <f>IF(PSE!L1&gt;0,PSE!L1,"")</f>
        <v>OCT</v>
      </c>
      <c r="L21" t="str">
        <f>IF(PSE!M1&gt;0,PSE!M1,"")</f>
        <v>NOV</v>
      </c>
      <c r="M21" t="str">
        <f>IF(PSE!N1&gt;0,PSE!N1,"")</f>
        <v>DEC</v>
      </c>
      <c r="N21" t="str">
        <f>IF(PSE!O1&gt;0,PSE!O1,"")</f>
        <v>JAN'27</v>
      </c>
      <c r="O21" t="str">
        <f>IF(PSE!P1&gt;0,PSE!P1,"")</f>
        <v>FEB'27</v>
      </c>
      <c r="P21" t="str">
        <f>IF(PSE!Q1&gt;0,PSE!Q1,"")</f>
        <v>MAR'27</v>
      </c>
    </row>
    <row r="22" spans="1:16" x14ac:dyDescent="0.2">
      <c r="A22" t="str">
        <f>IF(PSE!B2&gt;0,PSE!B2,"")</f>
        <v>Staff</v>
      </c>
      <c r="B22">
        <f>PSE!C13</f>
        <v>17</v>
      </c>
      <c r="C22">
        <f>PSE!D13</f>
        <v>17</v>
      </c>
      <c r="D22">
        <f>PSE!E13</f>
        <v>17</v>
      </c>
      <c r="E22">
        <f>PSE!F13</f>
        <v>17</v>
      </c>
      <c r="F22">
        <f>PSE!G13</f>
        <v>17</v>
      </c>
      <c r="G22">
        <f>PSE!H13</f>
        <v>17</v>
      </c>
      <c r="H22">
        <f>PSE!I13</f>
        <v>17</v>
      </c>
      <c r="I22">
        <f>PSE!J13</f>
        <v>17</v>
      </c>
      <c r="J22">
        <f>PSE!K13</f>
        <v>17</v>
      </c>
      <c r="K22">
        <f>PSE!L13</f>
        <v>17</v>
      </c>
      <c r="L22">
        <f>PSE!M13</f>
        <v>17</v>
      </c>
      <c r="M22">
        <f>PSE!N13</f>
        <v>17</v>
      </c>
      <c r="N22">
        <f>PSE!O13</f>
        <v>17</v>
      </c>
      <c r="O22">
        <f>PSE!P13</f>
        <v>17</v>
      </c>
      <c r="P22">
        <f>PSE!Q13</f>
        <v>17</v>
      </c>
    </row>
    <row r="23" spans="1:16" x14ac:dyDescent="0.2">
      <c r="A23" t="str">
        <f>IF(PSE!B3&gt;0,PSE!B3,"")</f>
        <v>Staff AVG</v>
      </c>
      <c r="B23">
        <f>PSE!C14</f>
        <v>17</v>
      </c>
      <c r="C23">
        <f>PSE!D14</f>
        <v>17</v>
      </c>
      <c r="D23">
        <f>PSE!E14</f>
        <v>17</v>
      </c>
      <c r="E23">
        <f>PSE!F14</f>
        <v>17</v>
      </c>
      <c r="F23">
        <f>PSE!G14</f>
        <v>17</v>
      </c>
      <c r="G23">
        <f>PSE!H14</f>
        <v>17</v>
      </c>
      <c r="H23">
        <f>PSE!I14</f>
        <v>17</v>
      </c>
      <c r="I23">
        <f>PSE!J14</f>
        <v>17</v>
      </c>
      <c r="J23">
        <f>PSE!K14</f>
        <v>17</v>
      </c>
      <c r="K23">
        <f>PSE!L14</f>
        <v>17</v>
      </c>
      <c r="L23">
        <f>PSE!M14</f>
        <v>17</v>
      </c>
      <c r="M23">
        <f>PSE!N14</f>
        <v>17</v>
      </c>
      <c r="N23">
        <f>PSE!O14</f>
        <v>17</v>
      </c>
      <c r="O23">
        <f>PSE!P14</f>
        <v>17</v>
      </c>
      <c r="P23">
        <f>PSE!Q14</f>
        <v>17</v>
      </c>
    </row>
    <row r="24" spans="1:16" x14ac:dyDescent="0.2">
      <c r="A24" t="str">
        <f>IF(PSE!B4&gt;0,PSE!B4,"")</f>
        <v>Plan</v>
      </c>
      <c r="B24">
        <f>PSE!C15</f>
        <v>16</v>
      </c>
      <c r="C24">
        <f>PSE!D15</f>
        <v>16</v>
      </c>
      <c r="D24">
        <f>PSE!E15</f>
        <v>18</v>
      </c>
      <c r="E24">
        <f>PSE!F15</f>
        <v>17</v>
      </c>
      <c r="F24">
        <f>PSE!G15</f>
        <v>17</v>
      </c>
      <c r="G24">
        <f>PSE!H15</f>
        <v>16</v>
      </c>
      <c r="H24">
        <f>PSE!I15</f>
        <v>16</v>
      </c>
      <c r="I24">
        <f>PSE!J15</f>
        <v>16</v>
      </c>
      <c r="J24">
        <f>PSE!K15</f>
        <v>16</v>
      </c>
      <c r="K24">
        <f>PSE!L15</f>
        <v>15</v>
      </c>
      <c r="L24">
        <f>PSE!M15</f>
        <v>15</v>
      </c>
      <c r="M24">
        <f>PSE!N15</f>
        <v>15</v>
      </c>
      <c r="N24">
        <f>PSE!O15</f>
        <v>13</v>
      </c>
      <c r="O24">
        <f>PSE!P15</f>
        <v>13</v>
      </c>
      <c r="P24">
        <f>PSE!Q15</f>
        <v>13</v>
      </c>
    </row>
    <row r="31" spans="1:16" x14ac:dyDescent="0.2">
      <c r="B31" t="str">
        <f>IF(PSE!C1&gt;0,PSE!C1,"")</f>
        <v>JAN</v>
      </c>
      <c r="C31" t="str">
        <f>IF(PSE!D1&gt;0,PSE!D1,"")</f>
        <v>FEB</v>
      </c>
      <c r="D31" t="str">
        <f>IF(PSE!E1&gt;0,PSE!E1,"")</f>
        <v>MAR</v>
      </c>
      <c r="E31" t="str">
        <f>IF(PSE!F1&gt;0,PSE!F1,"")</f>
        <v>APR</v>
      </c>
      <c r="F31" t="str">
        <f>IF(PSE!G1&gt;0,PSE!G1,"")</f>
        <v>MAY</v>
      </c>
      <c r="G31" t="str">
        <f>IF(PSE!H1&gt;0,PSE!H1,"")</f>
        <v>JUN</v>
      </c>
      <c r="H31" t="str">
        <f>IF(PSE!I1&gt;0,PSE!I1,"")</f>
        <v>JUL</v>
      </c>
      <c r="I31" t="str">
        <f>IF(PSE!J1&gt;0,PSE!J1,"")</f>
        <v>AUG</v>
      </c>
      <c r="J31" t="str">
        <f>IF(PSE!K1&gt;0,PSE!K1,"")</f>
        <v>SEP</v>
      </c>
      <c r="K31" t="str">
        <f>IF(PSE!L1&gt;0,PSE!L1,"")</f>
        <v>OCT</v>
      </c>
      <c r="L31" t="str">
        <f>IF(PSE!M1&gt;0,PSE!M1,"")</f>
        <v>NOV</v>
      </c>
      <c r="M31" t="str">
        <f>IF(PSE!N1&gt;0,PSE!N1,"")</f>
        <v>DEC</v>
      </c>
      <c r="N31" t="str">
        <f>IF(PSE!O1&gt;0,PSE!O1,"")</f>
        <v>JAN'27</v>
      </c>
      <c r="O31" t="str">
        <f>IF(PSE!P1&gt;0,PSE!P1,"")</f>
        <v>FEB'27</v>
      </c>
      <c r="P31" t="str">
        <f>IF(PSE!Q1&gt;0,PSE!Q1,"")</f>
        <v>MAR'27</v>
      </c>
    </row>
    <row r="32" spans="1:16" x14ac:dyDescent="0.2">
      <c r="A32" t="str">
        <f>IF(PSE!B2&gt;0,PSE!B2,"")</f>
        <v>Staff</v>
      </c>
      <c r="B32">
        <f>PSE!C17</f>
        <v>0</v>
      </c>
      <c r="C32">
        <f>PSE!D17</f>
        <v>0</v>
      </c>
      <c r="D32">
        <f>PSE!E17</f>
        <v>1</v>
      </c>
      <c r="E32">
        <f>PSE!F17</f>
        <v>3</v>
      </c>
      <c r="F32">
        <f>PSE!G17</f>
        <v>3</v>
      </c>
      <c r="G32">
        <f>PSE!H17</f>
        <v>3</v>
      </c>
      <c r="H32">
        <f>PSE!I17</f>
        <v>3</v>
      </c>
      <c r="I32">
        <f>PSE!J17</f>
        <v>3</v>
      </c>
      <c r="J32">
        <f>PSE!K17</f>
        <v>3</v>
      </c>
      <c r="K32">
        <f>PSE!L17</f>
        <v>3</v>
      </c>
      <c r="L32">
        <f>PSE!M17</f>
        <v>3</v>
      </c>
      <c r="M32">
        <f>PSE!N17</f>
        <v>3</v>
      </c>
      <c r="N32">
        <f>PSE!O17</f>
        <v>3</v>
      </c>
      <c r="O32">
        <f>PSE!P17</f>
        <v>3</v>
      </c>
      <c r="P32">
        <f>PSE!Q17</f>
        <v>3</v>
      </c>
    </row>
    <row r="33" spans="1:16" x14ac:dyDescent="0.2">
      <c r="A33" t="str">
        <f>IF(PSE!B3&gt;0,PSE!B3,"")</f>
        <v>Staff AVG</v>
      </c>
      <c r="B33">
        <f>PSE!C18</f>
        <v>2</v>
      </c>
      <c r="C33">
        <f>PSE!D18</f>
        <v>2</v>
      </c>
      <c r="D33">
        <f>PSE!E18</f>
        <v>2</v>
      </c>
      <c r="E33">
        <f>PSE!F18</f>
        <v>2</v>
      </c>
      <c r="F33">
        <f>PSE!G18</f>
        <v>2</v>
      </c>
      <c r="G33">
        <f>PSE!H18</f>
        <v>2</v>
      </c>
      <c r="H33">
        <f>PSE!I18</f>
        <v>2</v>
      </c>
      <c r="I33">
        <f>PSE!J18</f>
        <v>2</v>
      </c>
      <c r="J33">
        <f>PSE!K18</f>
        <v>2</v>
      </c>
      <c r="K33">
        <f>PSE!L18</f>
        <v>2</v>
      </c>
      <c r="L33">
        <f>PSE!M18</f>
        <v>2</v>
      </c>
      <c r="M33">
        <f>PSE!N18</f>
        <v>2</v>
      </c>
      <c r="N33">
        <f>PSE!O18</f>
        <v>2</v>
      </c>
      <c r="O33">
        <f>PSE!P18</f>
        <v>2</v>
      </c>
      <c r="P33">
        <f>PSE!Q18</f>
        <v>2</v>
      </c>
    </row>
    <row r="34" spans="1:16" x14ac:dyDescent="0.2">
      <c r="A34" t="str">
        <f>IF(PSE!B4&gt;0,PSE!B4,"")</f>
        <v>Plan</v>
      </c>
      <c r="B34">
        <f>PSE!C19</f>
        <v>0</v>
      </c>
      <c r="C34">
        <f>PSE!D19</f>
        <v>0</v>
      </c>
      <c r="D34">
        <f>PSE!E19</f>
        <v>0</v>
      </c>
      <c r="E34">
        <f>PSE!F19</f>
        <v>1</v>
      </c>
      <c r="F34">
        <f>PSE!G19</f>
        <v>3</v>
      </c>
      <c r="G34">
        <f>PSE!H19</f>
        <v>3</v>
      </c>
      <c r="H34">
        <f>PSE!I19</f>
        <v>3</v>
      </c>
      <c r="I34">
        <f>PSE!J19</f>
        <v>3</v>
      </c>
      <c r="J34">
        <f>PSE!K19</f>
        <v>3</v>
      </c>
      <c r="K34">
        <f>PSE!L19</f>
        <v>2</v>
      </c>
      <c r="L34">
        <f>PSE!M19</f>
        <v>2</v>
      </c>
      <c r="M34">
        <f>PSE!N19</f>
        <v>2</v>
      </c>
      <c r="N34">
        <f>PSE!O19</f>
        <v>0</v>
      </c>
      <c r="O34">
        <f>PSE!P19</f>
        <v>0</v>
      </c>
      <c r="P34">
        <f>PSE!Q19</f>
        <v>0</v>
      </c>
    </row>
    <row r="41" spans="1:16" x14ac:dyDescent="0.2">
      <c r="B41" t="str">
        <f>IF(PSE!C31&gt;0,PSE!C31,"")</f>
        <v>Q1</v>
      </c>
      <c r="C41" t="str">
        <f>IF(PSE!D31&gt;0,PSE!D31,"")</f>
        <v>Q2</v>
      </c>
      <c r="D41" t="str">
        <f>IF(PSE!E31&gt;0,PSE!E31,"")</f>
        <v>Q3</v>
      </c>
      <c r="E41" t="str">
        <f>IF(PSE!F31&gt;0,PSE!F31,"")</f>
        <v>Q4</v>
      </c>
      <c r="F41" t="str">
        <f>IF(PSE!G31&gt;0,PSE!G31,"")</f>
        <v>Q1'27</v>
      </c>
    </row>
    <row r="42" spans="1:16" x14ac:dyDescent="0.2">
      <c r="A42" t="str">
        <f>IF(PSE!B32&gt;0,PSE!B32,"")</f>
        <v>Staff</v>
      </c>
      <c r="B42">
        <f>IF(PSE!C32&gt;0,PSE!C32,"")</f>
        <v>45</v>
      </c>
      <c r="C42">
        <f>IF(PSE!D32&gt;0,PSE!D32,"")</f>
        <v>48</v>
      </c>
      <c r="D42">
        <f>IF(PSE!E32&gt;0,PSE!E32,"")</f>
        <v>48</v>
      </c>
      <c r="E42">
        <f>IF(PSE!F32&gt;0,PSE!F32,"")</f>
        <v>48</v>
      </c>
      <c r="F42">
        <f>IF(PSE!G32&gt;0,PSE!G32,"")</f>
        <v>48</v>
      </c>
    </row>
    <row r="43" spans="1:16" x14ac:dyDescent="0.2">
      <c r="A43" t="str">
        <f>IF(PSE!B33&gt;0,PSE!B33,"")</f>
        <v>Staff AVG</v>
      </c>
      <c r="B43">
        <f>IF(PSE!C33&gt;0,PSE!C33,"")</f>
        <v>47</v>
      </c>
      <c r="C43">
        <f>IF(PSE!D33&gt;0,PSE!D33,"")</f>
        <v>48</v>
      </c>
      <c r="D43">
        <f>IF(PSE!E33&gt;0,PSE!E33,"")</f>
        <v>48</v>
      </c>
      <c r="E43">
        <f>IF(PSE!F33&gt;0,PSE!F33,"")</f>
        <v>48</v>
      </c>
      <c r="F43">
        <f>IF(PSE!G33&gt;0,PSE!G33,"")</f>
        <v>48</v>
      </c>
    </row>
    <row r="44" spans="1:16" x14ac:dyDescent="0.2">
      <c r="A44" t="str">
        <f>IF(PSE!B34&gt;0,PSE!B34,"")</f>
        <v>Plan</v>
      </c>
      <c r="B44">
        <f>IF(PSE!C34&gt;0,PSE!C34,"")</f>
        <v>42</v>
      </c>
      <c r="C44">
        <f>IF(PSE!D34&gt;0,PSE!D34,"")</f>
        <v>45</v>
      </c>
      <c r="D44">
        <f>IF(PSE!E34&gt;0,PSE!E34,"")</f>
        <v>45</v>
      </c>
      <c r="E44">
        <f>IF(PSE!F34&gt;0,PSE!F34,"")</f>
        <v>41</v>
      </c>
      <c r="F44">
        <f>IF(PSE!G34&gt;0,PSE!G34,"")</f>
        <v>38</v>
      </c>
    </row>
    <row r="45" spans="1:16" x14ac:dyDescent="0.2">
      <c r="A45" t="str">
        <f>IF(PSE!B41&gt;0,PSE!B41,"")</f>
        <v>PAYROLL</v>
      </c>
      <c r="B45">
        <f>IF(PSE!C41&gt;0,PSE!C41,"")</f>
        <v>26</v>
      </c>
      <c r="C45">
        <f>IF(PSE!D41&gt;0,PSE!D41,"")</f>
        <v>27</v>
      </c>
      <c r="D45">
        <f>IF(PSE!E41&gt;0,PSE!E41,"")</f>
        <v>26</v>
      </c>
      <c r="E45">
        <f>IF(PSE!F41&gt;0,PSE!F41,"")</f>
        <v>24</v>
      </c>
      <c r="F45">
        <f>IF(PSE!G41&gt;0,PSE!G41,"")</f>
        <v>22</v>
      </c>
    </row>
    <row r="46" spans="1:16" x14ac:dyDescent="0.2">
      <c r="A46" t="str">
        <f>IF(PSE!B45&gt;0,PSE!B45,"")</f>
        <v>CONTRACTOR</v>
      </c>
      <c r="B46">
        <f>IF(PSE!C45&gt;0,PSE!C45,"")</f>
        <v>17</v>
      </c>
      <c r="C46">
        <f>IF(PSE!D45&gt;0,PSE!D45,"")</f>
        <v>17</v>
      </c>
      <c r="D46">
        <f>IF(PSE!E45&gt;0,PSE!E45,"")</f>
        <v>16</v>
      </c>
      <c r="E46">
        <f>IF(PSE!F45&gt;0,PSE!F45,"")</f>
        <v>15</v>
      </c>
      <c r="F46">
        <f>IF(PSE!G45&gt;0,PSE!G45,"")</f>
        <v>14</v>
      </c>
    </row>
    <row r="47" spans="1:16" x14ac:dyDescent="0.2">
      <c r="A47" t="str">
        <f>IF(PSE!B49&gt;0,PSE!B49,"")</f>
        <v>OUTSOURCE</v>
      </c>
      <c r="B47" t="str">
        <f>IF(PSE!C49&gt;0,PSE!C49,"")</f>
        <v/>
      </c>
      <c r="C47">
        <f>IF(PSE!D49&gt;0,PSE!D49,"")</f>
        <v>2</v>
      </c>
      <c r="D47">
        <f>IF(PSE!E49&gt;0,PSE!E49,"")</f>
        <v>3</v>
      </c>
      <c r="E47">
        <f>IF(PSE!F49&gt;0,PSE!F49,"")</f>
        <v>2</v>
      </c>
      <c r="F47">
        <f>IF(PSE!G49&gt;0,PSE!G49,"")</f>
        <v>1</v>
      </c>
    </row>
    <row r="51" spans="1:16" x14ac:dyDescent="0.2">
      <c r="A51" t="str">
        <f>PSE!A66</f>
        <v>Platform Engineering</v>
      </c>
      <c r="B51" t="str">
        <f>PSE!C61</f>
        <v>JAN</v>
      </c>
      <c r="C51" t="str">
        <f>PSE!D61</f>
        <v>FEB</v>
      </c>
      <c r="D51" t="str">
        <f>PSE!E61</f>
        <v>MAR</v>
      </c>
      <c r="E51" t="str">
        <f>PSE!F61</f>
        <v>APR</v>
      </c>
      <c r="F51" t="str">
        <f>PSE!G61</f>
        <v>MAY</v>
      </c>
      <c r="G51" t="str">
        <f>PSE!H61</f>
        <v>JUN</v>
      </c>
      <c r="H51" t="str">
        <f>PSE!I61</f>
        <v>JUL</v>
      </c>
      <c r="I51" t="str">
        <f>PSE!J61</f>
        <v>AUG</v>
      </c>
      <c r="J51" t="str">
        <f>PSE!K61</f>
        <v>SEP</v>
      </c>
      <c r="K51" t="str">
        <f>PSE!L61</f>
        <v>OCT</v>
      </c>
      <c r="L51" t="str">
        <f>PSE!M61</f>
        <v>NOV</v>
      </c>
      <c r="M51" t="str">
        <f>PSE!N61</f>
        <v>DEC</v>
      </c>
      <c r="N51" t="str">
        <f>PSE!O61</f>
        <v>JAN'27</v>
      </c>
      <c r="O51" t="str">
        <f>PSE!P61</f>
        <v>FEB'27</v>
      </c>
      <c r="P51" t="str">
        <f>PSE!Q61</f>
        <v>MAR'27</v>
      </c>
    </row>
    <row r="52" spans="1:16" x14ac:dyDescent="0.2">
      <c r="A52" t="str">
        <f>PSE!B66</f>
        <v>Staff</v>
      </c>
      <c r="B52">
        <f>PSE!C66</f>
        <v>5</v>
      </c>
      <c r="C52">
        <f>PSE!D66</f>
        <v>5</v>
      </c>
      <c r="D52">
        <f>PSE!E66</f>
        <v>5</v>
      </c>
      <c r="E52">
        <f>PSE!F66</f>
        <v>6</v>
      </c>
      <c r="F52">
        <f>PSE!G66</f>
        <v>6</v>
      </c>
      <c r="G52">
        <f>PSE!H66</f>
        <v>6</v>
      </c>
      <c r="H52">
        <f>PSE!I66</f>
        <v>6</v>
      </c>
      <c r="I52">
        <f>PSE!J66</f>
        <v>6</v>
      </c>
      <c r="J52">
        <f>PSE!K66</f>
        <v>6</v>
      </c>
      <c r="K52">
        <f>PSE!L66</f>
        <v>6</v>
      </c>
      <c r="L52">
        <f>PSE!M66</f>
        <v>6</v>
      </c>
      <c r="M52">
        <f>PSE!N66</f>
        <v>6</v>
      </c>
      <c r="N52">
        <f>PSE!O66</f>
        <v>6</v>
      </c>
      <c r="O52">
        <f>PSE!P66</f>
        <v>6</v>
      </c>
      <c r="P52">
        <f>PSE!Q66</f>
        <v>6</v>
      </c>
    </row>
    <row r="53" spans="1:16" x14ac:dyDescent="0.2">
      <c r="A53" t="str">
        <f>PSE!B67</f>
        <v>Plan</v>
      </c>
      <c r="B53">
        <f>PSE!C67</f>
        <v>5</v>
      </c>
      <c r="C53">
        <f>PSE!D67</f>
        <v>5</v>
      </c>
      <c r="D53">
        <f>PSE!E67</f>
        <v>5</v>
      </c>
      <c r="E53">
        <f>PSE!F67</f>
        <v>6</v>
      </c>
      <c r="F53">
        <f>PSE!G67</f>
        <v>6</v>
      </c>
      <c r="G53">
        <f>PSE!H67</f>
        <v>6</v>
      </c>
      <c r="H53">
        <f>PSE!I67</f>
        <v>6</v>
      </c>
      <c r="I53">
        <f>PSE!J67</f>
        <v>6</v>
      </c>
      <c r="J53">
        <f>PSE!K67</f>
        <v>6</v>
      </c>
      <c r="K53">
        <f>PSE!L67</f>
        <v>6</v>
      </c>
      <c r="L53">
        <f>PSE!M67</f>
        <v>6</v>
      </c>
      <c r="M53">
        <f>PSE!N67</f>
        <v>6</v>
      </c>
      <c r="N53">
        <f>PSE!O67</f>
        <v>6</v>
      </c>
      <c r="O53">
        <f>PSE!P67</f>
        <v>6</v>
      </c>
      <c r="P53">
        <f>PSE!Q67</f>
        <v>6</v>
      </c>
    </row>
    <row r="61" spans="1:16" x14ac:dyDescent="0.2">
      <c r="A61" t="str">
        <f>PSE!A72</f>
        <v>Software Engineering</v>
      </c>
      <c r="B61" t="str">
        <f>PSE!C61</f>
        <v>JAN</v>
      </c>
      <c r="C61" t="str">
        <f>PSE!D61</f>
        <v>FEB</v>
      </c>
      <c r="D61" t="str">
        <f>PSE!E61</f>
        <v>MAR</v>
      </c>
      <c r="E61" t="str">
        <f>PSE!F61</f>
        <v>APR</v>
      </c>
      <c r="F61" t="str">
        <f>PSE!G61</f>
        <v>MAY</v>
      </c>
      <c r="G61" t="str">
        <f>PSE!H61</f>
        <v>JUN</v>
      </c>
      <c r="H61" t="str">
        <f>PSE!I61</f>
        <v>JUL</v>
      </c>
      <c r="I61" t="str">
        <f>PSE!J61</f>
        <v>AUG</v>
      </c>
      <c r="J61" t="str">
        <f>PSE!K61</f>
        <v>SEP</v>
      </c>
      <c r="K61" t="str">
        <f>PSE!L61</f>
        <v>OCT</v>
      </c>
      <c r="L61" t="str">
        <f>PSE!M61</f>
        <v>NOV</v>
      </c>
      <c r="M61" t="str">
        <f>PSE!N61</f>
        <v>DEC</v>
      </c>
      <c r="N61" t="str">
        <f>PSE!O61</f>
        <v>JAN'27</v>
      </c>
      <c r="O61" t="str">
        <f>PSE!P61</f>
        <v>FEB'27</v>
      </c>
      <c r="P61" t="str">
        <f>PSE!Q61</f>
        <v>MAR'27</v>
      </c>
    </row>
    <row r="62" spans="1:16" x14ac:dyDescent="0.2">
      <c r="A62" t="str">
        <f>PSE!B72</f>
        <v>Staff</v>
      </c>
      <c r="B62">
        <f>PSE!C72</f>
        <v>39</v>
      </c>
      <c r="C62">
        <f>PSE!D72</f>
        <v>39</v>
      </c>
      <c r="D62">
        <f>PSE!E72</f>
        <v>39</v>
      </c>
      <c r="E62">
        <f>PSE!F72</f>
        <v>41</v>
      </c>
      <c r="F62">
        <f>PSE!G72</f>
        <v>41</v>
      </c>
      <c r="G62">
        <f>PSE!H72</f>
        <v>41</v>
      </c>
      <c r="H62">
        <f>PSE!I72</f>
        <v>41</v>
      </c>
      <c r="I62">
        <f>PSE!J72</f>
        <v>41</v>
      </c>
      <c r="J62">
        <f>PSE!K72</f>
        <v>41</v>
      </c>
      <c r="K62">
        <f>PSE!L72</f>
        <v>41</v>
      </c>
      <c r="L62">
        <f>PSE!M72</f>
        <v>41</v>
      </c>
      <c r="M62">
        <f>PSE!N72</f>
        <v>41</v>
      </c>
      <c r="N62">
        <f>PSE!O72</f>
        <v>41</v>
      </c>
      <c r="O62">
        <f>PSE!P72</f>
        <v>41</v>
      </c>
      <c r="P62">
        <f>PSE!Q72</f>
        <v>41</v>
      </c>
    </row>
    <row r="63" spans="1:16" x14ac:dyDescent="0.2">
      <c r="A63" t="str">
        <f>PSE!B73</f>
        <v>Plan</v>
      </c>
      <c r="B63">
        <f>PSE!C73</f>
        <v>34.4</v>
      </c>
      <c r="C63">
        <f>PSE!D73</f>
        <v>36.36</v>
      </c>
      <c r="D63">
        <f>PSE!E73</f>
        <v>38.47</v>
      </c>
      <c r="E63">
        <f>PSE!F73</f>
        <v>38.43</v>
      </c>
      <c r="F63">
        <f>PSE!G73</f>
        <v>39.78</v>
      </c>
      <c r="G63">
        <f>PSE!H73</f>
        <v>36.909999999999997</v>
      </c>
      <c r="H63">
        <f>PSE!I73</f>
        <v>38.11</v>
      </c>
      <c r="I63">
        <f>PSE!J73</f>
        <v>37.56</v>
      </c>
      <c r="J63">
        <f>PSE!K73</f>
        <v>38.06</v>
      </c>
      <c r="K63">
        <f>PSE!L73</f>
        <v>34.69</v>
      </c>
      <c r="L63">
        <f>PSE!M73</f>
        <v>34</v>
      </c>
      <c r="M63">
        <f>PSE!N73</f>
        <v>34</v>
      </c>
      <c r="N63">
        <f>PSE!O73</f>
        <v>24.65</v>
      </c>
      <c r="O63">
        <f>PSE!P73</f>
        <v>24.65</v>
      </c>
      <c r="P63">
        <f>PSE!Q73</f>
        <v>24.65</v>
      </c>
    </row>
    <row r="151" spans="1:16" x14ac:dyDescent="0.2">
      <c r="B151" t="str">
        <f>PSE!C1</f>
        <v>JAN</v>
      </c>
      <c r="C151" t="str">
        <f>PSE!D1</f>
        <v>FEB</v>
      </c>
      <c r="D151" t="str">
        <f>PSE!E1</f>
        <v>MAR</v>
      </c>
      <c r="E151" t="str">
        <f>PSE!F1</f>
        <v>APR</v>
      </c>
      <c r="F151" t="str">
        <f>PSE!G1</f>
        <v>MAY</v>
      </c>
      <c r="G151" t="str">
        <f>PSE!H1</f>
        <v>JUN</v>
      </c>
      <c r="H151" t="str">
        <f>PSE!I1</f>
        <v>JUL</v>
      </c>
      <c r="I151" t="str">
        <f>PSE!J1</f>
        <v>AUG</v>
      </c>
      <c r="J151" t="str">
        <f>PSE!K1</f>
        <v>SEP</v>
      </c>
      <c r="K151" t="str">
        <f>PSE!L1</f>
        <v>OCT</v>
      </c>
      <c r="L151" t="str">
        <f>PSE!M1</f>
        <v>NOV</v>
      </c>
      <c r="M151" t="str">
        <f>PSE!N1</f>
        <v>DEC</v>
      </c>
      <c r="N151" t="str">
        <f>PSE!O1</f>
        <v>JAN'27</v>
      </c>
      <c r="O151" t="str">
        <f>PSE!P1</f>
        <v>FEB'27</v>
      </c>
      <c r="P151" t="str">
        <f>PSE!Q1</f>
        <v>MAR'27</v>
      </c>
    </row>
    <row r="152" spans="1:16" x14ac:dyDescent="0.2">
      <c r="A152" t="str">
        <f>PSE!B6</f>
        <v>% Plan</v>
      </c>
      <c r="B152" s="62">
        <f>PSE!C6</f>
        <v>0.89780000000000004</v>
      </c>
      <c r="C152" s="62">
        <f>PSE!D6</f>
        <v>0.94130000000000003</v>
      </c>
      <c r="D152" s="62">
        <f>PSE!E6</f>
        <v>0.98819999999999997</v>
      </c>
      <c r="E152" s="62">
        <f>PSE!F6</f>
        <v>0.94650000000000001</v>
      </c>
      <c r="F152" s="62">
        <f>PSE!G6</f>
        <v>0.97460000000000002</v>
      </c>
      <c r="G152" s="62">
        <f>PSE!H6</f>
        <v>0.91479999999999995</v>
      </c>
      <c r="H152" s="62">
        <f>PSE!I6</f>
        <v>0.93979999999999997</v>
      </c>
      <c r="I152" s="62">
        <f>PSE!J6</f>
        <v>0.92830000000000001</v>
      </c>
      <c r="J152" s="62">
        <f>PSE!K6</f>
        <v>0.93879999999999997</v>
      </c>
      <c r="K152" s="62">
        <f>PSE!L6</f>
        <v>0.86850000000000005</v>
      </c>
      <c r="L152" s="62">
        <f>PSE!M6</f>
        <v>0.85419999999999996</v>
      </c>
      <c r="M152" s="62">
        <f>PSE!N6</f>
        <v>0.85419999999999996</v>
      </c>
      <c r="N152" s="62">
        <f>PSE!O6</f>
        <v>0.65939999999999999</v>
      </c>
      <c r="O152" s="62">
        <f>PSE!P6</f>
        <v>0.65939999999999999</v>
      </c>
      <c r="P152" s="62">
        <f>PSE!Q6</f>
        <v>0.65939999999999999</v>
      </c>
    </row>
    <row r="153" spans="1:16" x14ac:dyDescent="0.2">
      <c r="A153" t="str">
        <f>PSE!B7</f>
        <v>Available FTE</v>
      </c>
      <c r="B153">
        <f>PSE!C7</f>
        <v>5</v>
      </c>
      <c r="C153">
        <f>PSE!D7</f>
        <v>3</v>
      </c>
      <c r="D153">
        <f>PSE!E7</f>
        <v>1</v>
      </c>
      <c r="E153">
        <f>PSE!F7</f>
        <v>3</v>
      </c>
      <c r="F153">
        <f>PSE!G7</f>
        <v>1</v>
      </c>
      <c r="G153">
        <f>PSE!H7</f>
        <v>4</v>
      </c>
      <c r="H153">
        <f>PSE!I7</f>
        <v>3</v>
      </c>
      <c r="I153">
        <f>PSE!J7</f>
        <v>3</v>
      </c>
      <c r="J153">
        <f>PSE!K7</f>
        <v>3</v>
      </c>
      <c r="K153">
        <f>PSE!L7</f>
        <v>6</v>
      </c>
      <c r="L153">
        <f>PSE!M7</f>
        <v>7</v>
      </c>
      <c r="M153">
        <f>PSE!N7</f>
        <v>7</v>
      </c>
      <c r="N153">
        <f>PSE!O7</f>
        <v>16</v>
      </c>
      <c r="O153">
        <f>PSE!P7</f>
        <v>16</v>
      </c>
      <c r="P153">
        <f>PSE!Q7</f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35CCF-D520-E042-A4A6-56A7360DBCC0}">
  <sheetPr>
    <tabColor theme="8"/>
  </sheetPr>
  <dimension ref="A1:Q93"/>
  <sheetViews>
    <sheetView workbookViewId="0">
      <selection activeCell="C3" sqref="C3:Q3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33</v>
      </c>
      <c r="B2" s="7" t="s">
        <v>16</v>
      </c>
      <c r="C2" s="8">
        <v>43</v>
      </c>
      <c r="D2" s="8">
        <v>45</v>
      </c>
      <c r="E2" s="8">
        <v>46</v>
      </c>
      <c r="F2" s="8">
        <v>46</v>
      </c>
      <c r="G2" s="8">
        <v>46</v>
      </c>
      <c r="H2" s="8">
        <v>46</v>
      </c>
      <c r="I2" s="8">
        <v>46</v>
      </c>
      <c r="J2" s="8">
        <v>46</v>
      </c>
      <c r="K2" s="8">
        <v>46</v>
      </c>
      <c r="L2" s="8">
        <v>46</v>
      </c>
      <c r="M2" s="8">
        <v>46</v>
      </c>
      <c r="N2" s="8">
        <v>46</v>
      </c>
      <c r="O2" s="8">
        <v>46</v>
      </c>
      <c r="P2" s="8">
        <v>46</v>
      </c>
      <c r="Q2" s="8">
        <v>46</v>
      </c>
    </row>
    <row r="3" spans="1:17" x14ac:dyDescent="0.2">
      <c r="A3" s="12" t="s">
        <v>33</v>
      </c>
      <c r="B3" s="9" t="s">
        <v>17</v>
      </c>
      <c r="C3" s="8">
        <v>46</v>
      </c>
      <c r="D3" s="8">
        <v>46</v>
      </c>
      <c r="E3" s="8">
        <v>46</v>
      </c>
      <c r="F3" s="8">
        <v>46</v>
      </c>
      <c r="G3" s="8">
        <v>46</v>
      </c>
      <c r="H3" s="8">
        <v>46</v>
      </c>
      <c r="I3" s="8">
        <v>46</v>
      </c>
      <c r="J3" s="8">
        <v>46</v>
      </c>
      <c r="K3" s="8">
        <v>46</v>
      </c>
      <c r="L3" s="8">
        <v>46</v>
      </c>
      <c r="M3" s="8">
        <v>46</v>
      </c>
      <c r="N3" s="8">
        <v>46</v>
      </c>
      <c r="O3" s="8">
        <v>46</v>
      </c>
      <c r="P3" s="8">
        <v>46</v>
      </c>
      <c r="Q3" s="8">
        <v>46</v>
      </c>
    </row>
    <row r="4" spans="1:17" x14ac:dyDescent="0.2">
      <c r="A4" s="13" t="s">
        <v>33</v>
      </c>
      <c r="B4" s="10" t="s">
        <v>18</v>
      </c>
      <c r="C4" s="8">
        <v>40</v>
      </c>
      <c r="D4" s="14">
        <v>46</v>
      </c>
      <c r="E4" s="14">
        <v>48</v>
      </c>
      <c r="F4" s="8">
        <v>44</v>
      </c>
      <c r="G4" s="14">
        <v>46</v>
      </c>
      <c r="H4" s="14">
        <v>46</v>
      </c>
      <c r="I4" s="14">
        <v>48</v>
      </c>
      <c r="J4" s="14">
        <v>46</v>
      </c>
      <c r="K4" s="8">
        <v>45</v>
      </c>
      <c r="L4" s="8">
        <v>42</v>
      </c>
      <c r="M4" s="8">
        <v>42</v>
      </c>
      <c r="N4" s="8">
        <v>42</v>
      </c>
      <c r="O4" s="8">
        <v>32</v>
      </c>
      <c r="P4" s="8">
        <v>32</v>
      </c>
      <c r="Q4" s="8">
        <v>32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0.94089999999999996</v>
      </c>
      <c r="D6" s="19">
        <v>1.0186999999999999</v>
      </c>
      <c r="E6" s="19">
        <v>1.0399</v>
      </c>
      <c r="F6" s="19">
        <v>0.95079999999999998</v>
      </c>
      <c r="G6" s="19">
        <v>1.0044999999999999</v>
      </c>
      <c r="H6" s="19">
        <v>1.0102</v>
      </c>
      <c r="I6" s="19">
        <v>1.0387</v>
      </c>
      <c r="J6" s="19">
        <v>1.0035000000000001</v>
      </c>
      <c r="K6" s="19">
        <v>0.98709999999999998</v>
      </c>
      <c r="L6" s="19">
        <v>0.92390000000000005</v>
      </c>
      <c r="M6" s="19">
        <v>0.91090000000000004</v>
      </c>
      <c r="N6" s="19">
        <v>0.9022</v>
      </c>
      <c r="O6" s="19">
        <v>0.70440000000000003</v>
      </c>
      <c r="P6" s="19">
        <v>0.69789999999999996</v>
      </c>
      <c r="Q6" s="19">
        <v>0.69789999999999996</v>
      </c>
    </row>
    <row r="7" spans="1:17" x14ac:dyDescent="0.2">
      <c r="A7" s="17"/>
      <c r="B7" s="18" t="s">
        <v>24</v>
      </c>
      <c r="C7" s="20">
        <v>3</v>
      </c>
      <c r="D7" s="20">
        <v>-1</v>
      </c>
      <c r="E7" s="20">
        <v>-2</v>
      </c>
      <c r="F7" s="20">
        <v>2</v>
      </c>
      <c r="G7" s="20">
        <v>0</v>
      </c>
      <c r="H7" s="20">
        <v>0</v>
      </c>
      <c r="I7" s="20">
        <v>-2</v>
      </c>
      <c r="J7" s="20">
        <v>0</v>
      </c>
      <c r="K7" s="20">
        <v>1</v>
      </c>
      <c r="L7" s="20">
        <v>4</v>
      </c>
      <c r="M7" s="20">
        <v>4</v>
      </c>
      <c r="N7" s="20">
        <v>4</v>
      </c>
      <c r="O7" s="20">
        <v>14</v>
      </c>
      <c r="P7" s="20">
        <v>14</v>
      </c>
      <c r="Q7" s="20">
        <v>14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35</v>
      </c>
      <c r="D9" s="8">
        <v>35</v>
      </c>
      <c r="E9" s="8">
        <v>35</v>
      </c>
      <c r="F9" s="8">
        <v>35</v>
      </c>
      <c r="G9" s="8">
        <v>35</v>
      </c>
      <c r="H9" s="8">
        <v>35</v>
      </c>
      <c r="I9" s="8">
        <v>35</v>
      </c>
      <c r="J9" s="8">
        <v>35</v>
      </c>
      <c r="K9" s="8">
        <v>35</v>
      </c>
      <c r="L9" s="8">
        <v>35</v>
      </c>
      <c r="M9" s="8">
        <v>35</v>
      </c>
      <c r="N9" s="8">
        <v>35</v>
      </c>
      <c r="O9" s="8">
        <v>35</v>
      </c>
      <c r="P9" s="8">
        <v>35</v>
      </c>
      <c r="Q9" s="8">
        <v>35</v>
      </c>
    </row>
    <row r="10" spans="1:17" x14ac:dyDescent="0.2">
      <c r="A10" s="9" t="s">
        <v>17</v>
      </c>
      <c r="B10" s="12" t="s">
        <v>19</v>
      </c>
      <c r="C10" s="8">
        <v>35</v>
      </c>
      <c r="D10" s="8">
        <v>35</v>
      </c>
      <c r="E10" s="8">
        <v>35</v>
      </c>
      <c r="F10" s="8">
        <v>35</v>
      </c>
      <c r="G10" s="8">
        <v>35</v>
      </c>
      <c r="H10" s="8">
        <v>35</v>
      </c>
      <c r="I10" s="8">
        <v>35</v>
      </c>
      <c r="J10" s="8">
        <v>35</v>
      </c>
      <c r="K10" s="8">
        <v>35</v>
      </c>
      <c r="L10" s="8">
        <v>35</v>
      </c>
      <c r="M10" s="8">
        <v>35</v>
      </c>
      <c r="N10" s="8">
        <v>35</v>
      </c>
      <c r="O10" s="8">
        <v>35</v>
      </c>
      <c r="P10" s="8">
        <v>35</v>
      </c>
      <c r="Q10" s="8">
        <v>35</v>
      </c>
    </row>
    <row r="11" spans="1:17" x14ac:dyDescent="0.2">
      <c r="A11" s="16" t="s">
        <v>18</v>
      </c>
      <c r="B11" s="13" t="s">
        <v>19</v>
      </c>
      <c r="C11" s="8">
        <v>33</v>
      </c>
      <c r="D11" s="14">
        <v>35</v>
      </c>
      <c r="E11" s="14">
        <v>36</v>
      </c>
      <c r="F11" s="8">
        <v>33</v>
      </c>
      <c r="G11" s="8">
        <v>34</v>
      </c>
      <c r="H11" s="8">
        <v>34</v>
      </c>
      <c r="I11" s="8">
        <v>33</v>
      </c>
      <c r="J11" s="8">
        <v>32</v>
      </c>
      <c r="K11" s="8">
        <v>31</v>
      </c>
      <c r="L11" s="8">
        <v>30</v>
      </c>
      <c r="M11" s="8">
        <v>30</v>
      </c>
      <c r="N11" s="8">
        <v>29</v>
      </c>
      <c r="O11" s="8">
        <v>23</v>
      </c>
      <c r="P11" s="8">
        <v>23</v>
      </c>
      <c r="Q11" s="8">
        <v>23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2</v>
      </c>
      <c r="D13" s="8">
        <v>2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8">
        <v>2</v>
      </c>
      <c r="L13" s="8">
        <v>2</v>
      </c>
      <c r="M13" s="8">
        <v>2</v>
      </c>
      <c r="N13" s="8">
        <v>2</v>
      </c>
      <c r="O13" s="8">
        <v>2</v>
      </c>
      <c r="P13" s="8">
        <v>2</v>
      </c>
      <c r="Q13" s="8">
        <v>2</v>
      </c>
    </row>
    <row r="14" spans="1:17" x14ac:dyDescent="0.2">
      <c r="A14" s="9" t="s">
        <v>17</v>
      </c>
      <c r="B14" s="12" t="s">
        <v>20</v>
      </c>
      <c r="C14" s="8">
        <v>2</v>
      </c>
      <c r="D14" s="8">
        <v>2</v>
      </c>
      <c r="E14" s="8">
        <v>2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2</v>
      </c>
      <c r="Q14" s="8">
        <v>2</v>
      </c>
    </row>
    <row r="15" spans="1:17" x14ac:dyDescent="0.2">
      <c r="A15" s="16" t="s">
        <v>18</v>
      </c>
      <c r="B15" s="13" t="s">
        <v>20</v>
      </c>
      <c r="C15" s="8">
        <v>2</v>
      </c>
      <c r="D15" s="8">
        <v>2</v>
      </c>
      <c r="E15" s="8">
        <v>2</v>
      </c>
      <c r="F15" s="8">
        <v>2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  <c r="Q15" s="8">
        <v>2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16</v>
      </c>
      <c r="B17" s="11" t="s">
        <v>21</v>
      </c>
      <c r="C17" s="8">
        <v>6</v>
      </c>
      <c r="D17" s="8">
        <v>8</v>
      </c>
      <c r="E17" s="8">
        <v>9</v>
      </c>
      <c r="F17" s="8">
        <v>9</v>
      </c>
      <c r="G17" s="8">
        <v>9</v>
      </c>
      <c r="H17" s="8">
        <v>9</v>
      </c>
      <c r="I17" s="8">
        <v>9</v>
      </c>
      <c r="J17" s="8">
        <v>9</v>
      </c>
      <c r="K17" s="8">
        <v>9</v>
      </c>
      <c r="L17" s="8">
        <v>9</v>
      </c>
      <c r="M17" s="8">
        <v>9</v>
      </c>
      <c r="N17" s="8">
        <v>9</v>
      </c>
      <c r="O17" s="8">
        <v>9</v>
      </c>
      <c r="P17" s="8">
        <v>9</v>
      </c>
      <c r="Q17" s="8">
        <v>9</v>
      </c>
    </row>
    <row r="18" spans="1:17" x14ac:dyDescent="0.2">
      <c r="A18" s="9" t="s">
        <v>17</v>
      </c>
      <c r="B18" s="12" t="s">
        <v>21</v>
      </c>
      <c r="C18" s="8">
        <v>9</v>
      </c>
      <c r="D18" s="8">
        <v>9</v>
      </c>
      <c r="E18" s="8">
        <v>9</v>
      </c>
      <c r="F18" s="8">
        <v>9</v>
      </c>
      <c r="G18" s="8">
        <v>9</v>
      </c>
      <c r="H18" s="8">
        <v>9</v>
      </c>
      <c r="I18" s="8">
        <v>9</v>
      </c>
      <c r="J18" s="8">
        <v>9</v>
      </c>
      <c r="K18" s="8">
        <v>9</v>
      </c>
      <c r="L18" s="8">
        <v>9</v>
      </c>
      <c r="M18" s="8">
        <v>9</v>
      </c>
      <c r="N18" s="8">
        <v>9</v>
      </c>
      <c r="O18" s="8">
        <v>9</v>
      </c>
      <c r="P18" s="8">
        <v>9</v>
      </c>
      <c r="Q18" s="8">
        <v>9</v>
      </c>
    </row>
    <row r="19" spans="1:17" x14ac:dyDescent="0.2">
      <c r="A19" s="16" t="s">
        <v>18</v>
      </c>
      <c r="B19" s="13" t="s">
        <v>21</v>
      </c>
      <c r="C19" s="8">
        <v>6</v>
      </c>
      <c r="D19" s="14">
        <v>8</v>
      </c>
      <c r="E19" s="14">
        <v>10</v>
      </c>
      <c r="F19" s="8">
        <v>9</v>
      </c>
      <c r="G19" s="14">
        <v>10</v>
      </c>
      <c r="H19" s="14">
        <v>11</v>
      </c>
      <c r="I19" s="14">
        <v>12</v>
      </c>
      <c r="J19" s="14">
        <v>12</v>
      </c>
      <c r="K19" s="14">
        <v>13</v>
      </c>
      <c r="L19" s="14">
        <v>10</v>
      </c>
      <c r="M19" s="14">
        <v>10</v>
      </c>
      <c r="N19" s="14">
        <v>10</v>
      </c>
      <c r="O19" s="8">
        <v>7</v>
      </c>
      <c r="P19" s="8">
        <v>7</v>
      </c>
      <c r="Q19" s="8">
        <v>7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33</v>
      </c>
      <c r="B32" s="7" t="s">
        <v>16</v>
      </c>
      <c r="C32" s="26">
        <v>45</v>
      </c>
      <c r="D32" s="21">
        <v>46</v>
      </c>
      <c r="E32" s="21">
        <v>46</v>
      </c>
      <c r="F32" s="21">
        <v>46</v>
      </c>
      <c r="G32" s="21">
        <v>46</v>
      </c>
    </row>
    <row r="33" spans="1:7" x14ac:dyDescent="0.2">
      <c r="A33" s="12" t="s">
        <v>33</v>
      </c>
      <c r="B33" s="9" t="s">
        <v>17</v>
      </c>
      <c r="C33" s="26">
        <v>46</v>
      </c>
      <c r="D33" s="21">
        <v>46</v>
      </c>
      <c r="E33" s="21">
        <v>46</v>
      </c>
      <c r="F33" s="21">
        <v>46</v>
      </c>
      <c r="G33" s="21">
        <v>46</v>
      </c>
    </row>
    <row r="34" spans="1:7" x14ac:dyDescent="0.2">
      <c r="A34" s="13" t="s">
        <v>33</v>
      </c>
      <c r="B34" s="10" t="s">
        <v>18</v>
      </c>
      <c r="C34" s="32">
        <v>45</v>
      </c>
      <c r="D34" s="21">
        <v>45</v>
      </c>
      <c r="E34" s="14">
        <v>46</v>
      </c>
      <c r="F34" s="21">
        <v>42</v>
      </c>
      <c r="G34" s="21">
        <v>39</v>
      </c>
    </row>
    <row r="35" spans="1:7" x14ac:dyDescent="0.2">
      <c r="A35" s="17"/>
      <c r="B35" s="8"/>
      <c r="C35" s="27">
        <v>-1E-3</v>
      </c>
      <c r="D35" s="28">
        <v>1.15E-2</v>
      </c>
      <c r="E35" s="28">
        <v>-9.7999999999999997E-3</v>
      </c>
      <c r="F35" s="28">
        <v>8.7599999999999997E-2</v>
      </c>
      <c r="G35" s="28">
        <v>0.1608</v>
      </c>
    </row>
    <row r="36" spans="1:7" x14ac:dyDescent="0.2">
      <c r="A36" s="8"/>
      <c r="B36" s="18" t="s">
        <v>23</v>
      </c>
      <c r="C36" s="29">
        <v>1.0009999999999999</v>
      </c>
      <c r="D36" s="19">
        <v>0.98850000000000005</v>
      </c>
      <c r="E36" s="19">
        <v>1.0098</v>
      </c>
      <c r="F36" s="19">
        <v>0.91239999999999999</v>
      </c>
      <c r="G36" s="19">
        <v>0.83919999999999995</v>
      </c>
    </row>
    <row r="37" spans="1:7" x14ac:dyDescent="0.2">
      <c r="A37" s="17"/>
      <c r="B37" s="18" t="s">
        <v>24</v>
      </c>
      <c r="C37" s="30">
        <v>0</v>
      </c>
      <c r="D37" s="20">
        <v>1</v>
      </c>
      <c r="E37" s="20">
        <v>0</v>
      </c>
      <c r="F37" s="20">
        <v>4</v>
      </c>
      <c r="G37" s="20">
        <v>7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35</v>
      </c>
      <c r="D39" s="21">
        <v>35</v>
      </c>
      <c r="E39" s="21">
        <v>35</v>
      </c>
      <c r="F39" s="21">
        <v>35</v>
      </c>
      <c r="G39" s="21">
        <v>35</v>
      </c>
    </row>
    <row r="40" spans="1:7" x14ac:dyDescent="0.2">
      <c r="A40" s="9" t="s">
        <v>17</v>
      </c>
      <c r="B40" s="12" t="s">
        <v>19</v>
      </c>
      <c r="C40" s="26">
        <v>35</v>
      </c>
      <c r="D40" s="21">
        <v>35</v>
      </c>
      <c r="E40" s="21">
        <v>35</v>
      </c>
      <c r="F40" s="21">
        <v>35</v>
      </c>
      <c r="G40" s="21">
        <v>35</v>
      </c>
    </row>
    <row r="41" spans="1:7" x14ac:dyDescent="0.2">
      <c r="A41" s="16" t="s">
        <v>18</v>
      </c>
      <c r="B41" s="13" t="s">
        <v>19</v>
      </c>
      <c r="C41" s="26">
        <v>35</v>
      </c>
      <c r="D41" s="21">
        <v>34</v>
      </c>
      <c r="E41" s="21">
        <v>32</v>
      </c>
      <c r="F41" s="21">
        <v>30</v>
      </c>
      <c r="G41" s="21">
        <v>27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16</v>
      </c>
      <c r="B43" s="11" t="s">
        <v>20</v>
      </c>
      <c r="C43" s="26">
        <v>2</v>
      </c>
      <c r="D43" s="21">
        <v>2</v>
      </c>
      <c r="E43" s="21">
        <v>2</v>
      </c>
      <c r="F43" s="21">
        <v>2</v>
      </c>
      <c r="G43" s="21">
        <v>2</v>
      </c>
    </row>
    <row r="44" spans="1:7" x14ac:dyDescent="0.2">
      <c r="A44" s="9" t="s">
        <v>17</v>
      </c>
      <c r="B44" s="12" t="s">
        <v>20</v>
      </c>
      <c r="C44" s="26">
        <v>2</v>
      </c>
      <c r="D44" s="21">
        <v>2</v>
      </c>
      <c r="E44" s="21">
        <v>2</v>
      </c>
      <c r="F44" s="21">
        <v>2</v>
      </c>
      <c r="G44" s="21">
        <v>2</v>
      </c>
    </row>
    <row r="45" spans="1:7" x14ac:dyDescent="0.2">
      <c r="A45" s="16" t="s">
        <v>18</v>
      </c>
      <c r="B45" s="13" t="s">
        <v>20</v>
      </c>
      <c r="C45" s="26">
        <v>2</v>
      </c>
      <c r="D45" s="21">
        <v>2</v>
      </c>
      <c r="E45" s="21">
        <v>2</v>
      </c>
      <c r="F45" s="21">
        <v>2</v>
      </c>
      <c r="G45" s="21">
        <v>2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16</v>
      </c>
      <c r="B47" s="11" t="s">
        <v>21</v>
      </c>
      <c r="C47" s="26">
        <v>8</v>
      </c>
      <c r="D47" s="21">
        <v>9</v>
      </c>
      <c r="E47" s="21">
        <v>9</v>
      </c>
      <c r="F47" s="21">
        <v>9</v>
      </c>
      <c r="G47" s="21">
        <v>9</v>
      </c>
    </row>
    <row r="48" spans="1:7" x14ac:dyDescent="0.2">
      <c r="A48" s="9" t="s">
        <v>17</v>
      </c>
      <c r="B48" s="12" t="s">
        <v>21</v>
      </c>
      <c r="C48" s="26">
        <v>9</v>
      </c>
      <c r="D48" s="21">
        <v>9</v>
      </c>
      <c r="E48" s="21">
        <v>9</v>
      </c>
      <c r="F48" s="21">
        <v>9</v>
      </c>
      <c r="G48" s="21">
        <v>9</v>
      </c>
    </row>
    <row r="49" spans="1:17" x14ac:dyDescent="0.2">
      <c r="A49" s="16" t="s">
        <v>18</v>
      </c>
      <c r="B49" s="13" t="s">
        <v>21</v>
      </c>
      <c r="C49" s="32">
        <v>8</v>
      </c>
      <c r="D49" s="14">
        <v>10</v>
      </c>
      <c r="E49" s="14">
        <v>12</v>
      </c>
      <c r="F49" s="14">
        <v>10</v>
      </c>
      <c r="G49" s="14">
        <v>9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5" t="s">
        <v>13</v>
      </c>
      <c r="P61" s="5" t="s">
        <v>14</v>
      </c>
      <c r="Q61" s="5" t="s">
        <v>15</v>
      </c>
    </row>
    <row r="62" spans="1:17" x14ac:dyDescent="0.2">
      <c r="A62" s="12"/>
      <c r="B62" s="46" t="s">
        <v>16</v>
      </c>
      <c r="C62" s="12">
        <v>43</v>
      </c>
      <c r="D62" s="12">
        <v>45</v>
      </c>
      <c r="E62" s="12">
        <v>46</v>
      </c>
      <c r="F62" s="12">
        <v>46</v>
      </c>
      <c r="G62" s="12">
        <v>46</v>
      </c>
      <c r="H62" s="12">
        <v>46</v>
      </c>
      <c r="I62" s="12">
        <v>46</v>
      </c>
      <c r="J62" s="12">
        <v>46</v>
      </c>
      <c r="K62" s="12">
        <v>46</v>
      </c>
      <c r="L62" s="12">
        <v>46</v>
      </c>
      <c r="M62" s="12">
        <v>46</v>
      </c>
      <c r="N62" s="12">
        <v>46</v>
      </c>
      <c r="O62" s="12">
        <v>46</v>
      </c>
      <c r="P62" s="12">
        <v>46</v>
      </c>
      <c r="Q62" s="12">
        <v>46</v>
      </c>
    </row>
    <row r="63" spans="1:17" x14ac:dyDescent="0.2">
      <c r="A63" s="36"/>
      <c r="B63" s="47" t="s">
        <v>18</v>
      </c>
      <c r="C63" s="48">
        <v>34.077500000000001</v>
      </c>
      <c r="D63" s="48">
        <v>38.524999999999999</v>
      </c>
      <c r="E63" s="48">
        <v>40.520000000000003</v>
      </c>
      <c r="F63" s="48">
        <v>36.765000000000001</v>
      </c>
      <c r="G63" s="48">
        <v>39.619999999999997</v>
      </c>
      <c r="H63" s="48">
        <v>39.774999999999999</v>
      </c>
      <c r="I63" s="48">
        <v>40.583750000000002</v>
      </c>
      <c r="J63" s="48">
        <v>38.893250000000002</v>
      </c>
      <c r="K63" s="48">
        <v>38.455750000000002</v>
      </c>
      <c r="L63" s="48">
        <v>35.549500000000002</v>
      </c>
      <c r="M63" s="48">
        <v>34.582500000000003</v>
      </c>
      <c r="N63" s="48">
        <v>33.2575</v>
      </c>
      <c r="O63" s="48">
        <v>24.421250000000001</v>
      </c>
      <c r="P63" s="48">
        <v>24.12125</v>
      </c>
      <c r="Q63" s="48">
        <v>24.12125</v>
      </c>
    </row>
    <row r="64" spans="1:17" x14ac:dyDescent="0.2">
      <c r="A64" s="49" t="s">
        <v>52</v>
      </c>
      <c r="B64" s="50" t="s">
        <v>16</v>
      </c>
      <c r="C64" s="49">
        <v>1</v>
      </c>
      <c r="D64" s="49">
        <v>1</v>
      </c>
      <c r="E64" s="49">
        <v>1</v>
      </c>
      <c r="F64" s="49">
        <v>1</v>
      </c>
      <c r="G64" s="49">
        <v>1</v>
      </c>
      <c r="H64" s="49">
        <v>1</v>
      </c>
      <c r="I64" s="49">
        <v>1</v>
      </c>
      <c r="J64" s="49">
        <v>1</v>
      </c>
      <c r="K64" s="49">
        <v>1</v>
      </c>
      <c r="L64" s="49">
        <v>1</v>
      </c>
      <c r="M64" s="49">
        <v>1</v>
      </c>
      <c r="N64" s="49">
        <v>1</v>
      </c>
      <c r="O64" s="49">
        <v>1</v>
      </c>
      <c r="P64" s="49">
        <v>1</v>
      </c>
      <c r="Q64" s="49">
        <v>1</v>
      </c>
    </row>
    <row r="65" spans="1:17" x14ac:dyDescent="0.2">
      <c r="A65" s="39" t="s">
        <v>52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49" t="s">
        <v>53</v>
      </c>
      <c r="B66" s="50" t="s">
        <v>16</v>
      </c>
      <c r="C66" s="49">
        <v>4</v>
      </c>
      <c r="D66" s="49">
        <v>4</v>
      </c>
      <c r="E66" s="49">
        <v>4</v>
      </c>
      <c r="F66" s="49">
        <v>4</v>
      </c>
      <c r="G66" s="49">
        <v>4</v>
      </c>
      <c r="H66" s="49">
        <v>4</v>
      </c>
      <c r="I66" s="49">
        <v>4</v>
      </c>
      <c r="J66" s="49">
        <v>4</v>
      </c>
      <c r="K66" s="49">
        <v>4</v>
      </c>
      <c r="L66" s="49">
        <v>4</v>
      </c>
      <c r="M66" s="49">
        <v>4</v>
      </c>
      <c r="N66" s="49">
        <v>4</v>
      </c>
      <c r="O66" s="49">
        <v>4</v>
      </c>
      <c r="P66" s="49">
        <v>4</v>
      </c>
      <c r="Q66" s="49">
        <v>4</v>
      </c>
    </row>
    <row r="67" spans="1:17" x14ac:dyDescent="0.2">
      <c r="A67" s="39" t="s">
        <v>53</v>
      </c>
      <c r="B67" s="10" t="s">
        <v>18</v>
      </c>
      <c r="C67" s="8">
        <v>3.0625</v>
      </c>
      <c r="D67" s="8">
        <v>3.85</v>
      </c>
      <c r="E67" s="8">
        <v>3.65</v>
      </c>
      <c r="F67" s="8">
        <v>3.3</v>
      </c>
      <c r="G67" s="8">
        <v>4.0250000000000004</v>
      </c>
      <c r="H67" s="8">
        <v>4.0250000000000004</v>
      </c>
      <c r="I67" s="8">
        <v>3.9812500000000002</v>
      </c>
      <c r="J67" s="8">
        <v>3.2937500000000002</v>
      </c>
      <c r="K67" s="8">
        <v>2.9312499999999999</v>
      </c>
      <c r="L67" s="8">
        <v>2.7124999999999999</v>
      </c>
      <c r="M67" s="8">
        <v>2.5874999999999999</v>
      </c>
      <c r="N67" s="8">
        <v>2.3875000000000002</v>
      </c>
      <c r="O67" s="8">
        <v>1.28125</v>
      </c>
      <c r="P67" s="8">
        <v>1.03125</v>
      </c>
      <c r="Q67" s="8">
        <v>1.03125</v>
      </c>
    </row>
    <row r="68" spans="1:17" x14ac:dyDescent="0.2">
      <c r="A68" s="49" t="s">
        <v>54</v>
      </c>
      <c r="B68" s="50" t="s">
        <v>16</v>
      </c>
      <c r="C68" s="49">
        <v>7</v>
      </c>
      <c r="D68" s="49">
        <v>7</v>
      </c>
      <c r="E68" s="49">
        <v>7</v>
      </c>
      <c r="F68" s="49">
        <v>7</v>
      </c>
      <c r="G68" s="49">
        <v>7</v>
      </c>
      <c r="H68" s="49">
        <v>7</v>
      </c>
      <c r="I68" s="49">
        <v>7</v>
      </c>
      <c r="J68" s="49">
        <v>7</v>
      </c>
      <c r="K68" s="49">
        <v>7</v>
      </c>
      <c r="L68" s="49">
        <v>7</v>
      </c>
      <c r="M68" s="49">
        <v>7</v>
      </c>
      <c r="N68" s="49">
        <v>7</v>
      </c>
      <c r="O68" s="49">
        <v>7</v>
      </c>
      <c r="P68" s="49">
        <v>7</v>
      </c>
      <c r="Q68" s="49">
        <v>7</v>
      </c>
    </row>
    <row r="69" spans="1:17" x14ac:dyDescent="0.2">
      <c r="A69" s="39" t="s">
        <v>54</v>
      </c>
      <c r="B69" s="10" t="s">
        <v>18</v>
      </c>
      <c r="C69" s="8">
        <v>7.0750000000000002</v>
      </c>
      <c r="D69" s="8">
        <v>7.2249999999999996</v>
      </c>
      <c r="E69" s="8">
        <v>6.8650000000000002</v>
      </c>
      <c r="F69" s="8">
        <v>6.12</v>
      </c>
      <c r="G69" s="8">
        <v>5.7074999999999996</v>
      </c>
      <c r="H69" s="8">
        <v>6.4124999999999996</v>
      </c>
      <c r="I69" s="8">
        <v>5.8624999999999998</v>
      </c>
      <c r="J69" s="8">
        <v>5.6325000000000003</v>
      </c>
      <c r="K69" s="8">
        <v>5.6325000000000003</v>
      </c>
      <c r="L69" s="8">
        <v>5.2949999999999999</v>
      </c>
      <c r="M69" s="8">
        <v>5.1449999999999996</v>
      </c>
      <c r="N69" s="8">
        <v>5.1449999999999996</v>
      </c>
      <c r="O69" s="8">
        <v>4.3150000000000004</v>
      </c>
      <c r="P69" s="8">
        <v>4.3150000000000004</v>
      </c>
      <c r="Q69" s="8">
        <v>4.3150000000000004</v>
      </c>
    </row>
    <row r="70" spans="1:17" x14ac:dyDescent="0.2">
      <c r="A70" s="42" t="s">
        <v>55</v>
      </c>
      <c r="B70" s="43" t="s">
        <v>16</v>
      </c>
      <c r="C70" s="43">
        <v>6</v>
      </c>
      <c r="D70" s="43">
        <v>6</v>
      </c>
      <c r="E70" s="43">
        <v>6</v>
      </c>
      <c r="F70" s="43">
        <v>6</v>
      </c>
      <c r="G70" s="43">
        <v>6</v>
      </c>
      <c r="H70" s="43">
        <v>6</v>
      </c>
      <c r="I70" s="43">
        <v>6</v>
      </c>
      <c r="J70" s="43">
        <v>6</v>
      </c>
      <c r="K70" s="43">
        <v>6</v>
      </c>
      <c r="L70" s="43">
        <v>6</v>
      </c>
      <c r="M70" s="43">
        <v>6</v>
      </c>
      <c r="N70" s="43">
        <v>6</v>
      </c>
      <c r="O70" s="43">
        <v>6</v>
      </c>
      <c r="P70" s="43">
        <v>6</v>
      </c>
      <c r="Q70" s="43">
        <v>6</v>
      </c>
    </row>
    <row r="71" spans="1:17" x14ac:dyDescent="0.2">
      <c r="A71" s="44" t="s">
        <v>56</v>
      </c>
      <c r="B71" s="45" t="s">
        <v>18</v>
      </c>
      <c r="C71" s="41">
        <v>6.0750000000000002</v>
      </c>
      <c r="D71" s="41">
        <v>6.2249999999999996</v>
      </c>
      <c r="E71" s="41">
        <v>5.8650000000000002</v>
      </c>
      <c r="F71" s="41">
        <v>5.12</v>
      </c>
      <c r="G71" s="41">
        <v>4.7074999999999996</v>
      </c>
      <c r="H71" s="41">
        <v>5.4124999999999996</v>
      </c>
      <c r="I71" s="41">
        <v>4.8624999999999998</v>
      </c>
      <c r="J71" s="41">
        <v>4.6325000000000003</v>
      </c>
      <c r="K71" s="41">
        <v>4.6325000000000003</v>
      </c>
      <c r="L71" s="41">
        <v>4.2949999999999999</v>
      </c>
      <c r="M71" s="41">
        <v>4.1449999999999996</v>
      </c>
      <c r="N71" s="41">
        <v>4.1449999999999996</v>
      </c>
      <c r="O71" s="41">
        <v>3.3149999999999999</v>
      </c>
      <c r="P71" s="41">
        <v>3.3149999999999999</v>
      </c>
      <c r="Q71" s="41">
        <v>3.3149999999999999</v>
      </c>
    </row>
    <row r="72" spans="1:17" x14ac:dyDescent="0.2">
      <c r="A72" s="42" t="s">
        <v>57</v>
      </c>
      <c r="B72" s="43" t="s">
        <v>16</v>
      </c>
      <c r="C72" s="43">
        <v>1</v>
      </c>
      <c r="D72" s="43">
        <v>1</v>
      </c>
      <c r="E72" s="43">
        <v>1</v>
      </c>
      <c r="F72" s="43">
        <v>1</v>
      </c>
      <c r="G72" s="43">
        <v>1</v>
      </c>
      <c r="H72" s="43">
        <v>1</v>
      </c>
      <c r="I72" s="43">
        <v>1</v>
      </c>
      <c r="J72" s="43">
        <v>1</v>
      </c>
      <c r="K72" s="43">
        <v>1</v>
      </c>
      <c r="L72" s="43">
        <v>1</v>
      </c>
      <c r="M72" s="43">
        <v>1</v>
      </c>
      <c r="N72" s="43">
        <v>1</v>
      </c>
      <c r="O72" s="43">
        <v>1</v>
      </c>
      <c r="P72" s="43">
        <v>1</v>
      </c>
      <c r="Q72" s="43">
        <v>1</v>
      </c>
    </row>
    <row r="73" spans="1:17" x14ac:dyDescent="0.2">
      <c r="A73" s="44" t="s">
        <v>58</v>
      </c>
      <c r="B73" s="45" t="s">
        <v>18</v>
      </c>
      <c r="C73" s="41">
        <v>1</v>
      </c>
      <c r="D73" s="41">
        <v>1</v>
      </c>
      <c r="E73" s="41">
        <v>1</v>
      </c>
      <c r="F73" s="41">
        <v>1</v>
      </c>
      <c r="G73" s="41">
        <v>1</v>
      </c>
      <c r="H73" s="41">
        <v>1</v>
      </c>
      <c r="I73" s="41">
        <v>1</v>
      </c>
      <c r="J73" s="41">
        <v>1</v>
      </c>
      <c r="K73" s="41">
        <v>1</v>
      </c>
      <c r="L73" s="41">
        <v>1</v>
      </c>
      <c r="M73" s="41">
        <v>1</v>
      </c>
      <c r="N73" s="41">
        <v>1</v>
      </c>
      <c r="O73" s="41">
        <v>1</v>
      </c>
      <c r="P73" s="41">
        <v>1</v>
      </c>
      <c r="Q73" s="41">
        <v>1</v>
      </c>
    </row>
    <row r="74" spans="1:17" x14ac:dyDescent="0.2">
      <c r="A74" s="49" t="s">
        <v>59</v>
      </c>
      <c r="B74" s="50" t="s">
        <v>16</v>
      </c>
      <c r="C74" s="49">
        <v>4</v>
      </c>
      <c r="D74" s="49">
        <v>4</v>
      </c>
      <c r="E74" s="49">
        <v>4</v>
      </c>
      <c r="F74" s="49">
        <v>4</v>
      </c>
      <c r="G74" s="49">
        <v>4</v>
      </c>
      <c r="H74" s="49">
        <v>4</v>
      </c>
      <c r="I74" s="49">
        <v>4</v>
      </c>
      <c r="J74" s="49">
        <v>4</v>
      </c>
      <c r="K74" s="49">
        <v>4</v>
      </c>
      <c r="L74" s="49">
        <v>4</v>
      </c>
      <c r="M74" s="49">
        <v>4</v>
      </c>
      <c r="N74" s="49">
        <v>4</v>
      </c>
      <c r="O74" s="49">
        <v>4</v>
      </c>
      <c r="P74" s="49">
        <v>4</v>
      </c>
      <c r="Q74" s="49">
        <v>4</v>
      </c>
    </row>
    <row r="75" spans="1:17" x14ac:dyDescent="0.2">
      <c r="A75" s="39" t="s">
        <v>59</v>
      </c>
      <c r="B75" s="10" t="s">
        <v>18</v>
      </c>
      <c r="C75" s="8">
        <v>3.3</v>
      </c>
      <c r="D75" s="8">
        <v>4.375</v>
      </c>
      <c r="E75" s="8">
        <v>4.3250000000000002</v>
      </c>
      <c r="F75" s="8">
        <v>3.9</v>
      </c>
      <c r="G75" s="8">
        <v>3.5150000000000001</v>
      </c>
      <c r="H75" s="8">
        <v>3.4649999999999999</v>
      </c>
      <c r="I75" s="8">
        <v>3.3650000000000002</v>
      </c>
      <c r="J75" s="8">
        <v>3.44</v>
      </c>
      <c r="K75" s="8">
        <v>3.12</v>
      </c>
      <c r="L75" s="8">
        <v>3.12</v>
      </c>
      <c r="M75" s="8">
        <v>3.12</v>
      </c>
      <c r="N75" s="8">
        <v>3.0449999999999999</v>
      </c>
      <c r="O75" s="8">
        <v>2.78</v>
      </c>
      <c r="P75" s="8">
        <v>2.78</v>
      </c>
      <c r="Q75" s="8">
        <v>2.78</v>
      </c>
    </row>
    <row r="76" spans="1:17" x14ac:dyDescent="0.2">
      <c r="A76" s="49" t="s">
        <v>60</v>
      </c>
      <c r="B76" s="50" t="s">
        <v>16</v>
      </c>
      <c r="C76" s="49">
        <v>2</v>
      </c>
      <c r="D76" s="49">
        <v>2</v>
      </c>
      <c r="E76" s="49">
        <v>2</v>
      </c>
      <c r="F76" s="49">
        <v>2</v>
      </c>
      <c r="G76" s="49">
        <v>2</v>
      </c>
      <c r="H76" s="49">
        <v>2</v>
      </c>
      <c r="I76" s="49">
        <v>2</v>
      </c>
      <c r="J76" s="49">
        <v>2</v>
      </c>
      <c r="K76" s="49">
        <v>2</v>
      </c>
      <c r="L76" s="49">
        <v>2</v>
      </c>
      <c r="M76" s="49">
        <v>2</v>
      </c>
      <c r="N76" s="49">
        <v>2</v>
      </c>
      <c r="O76" s="49">
        <v>2</v>
      </c>
      <c r="P76" s="49">
        <v>2</v>
      </c>
      <c r="Q76" s="49">
        <v>2</v>
      </c>
    </row>
    <row r="77" spans="1:17" x14ac:dyDescent="0.2">
      <c r="A77" s="39" t="s">
        <v>60</v>
      </c>
      <c r="B77" s="10" t="s">
        <v>18</v>
      </c>
      <c r="C77" s="8">
        <v>3.3849999999999998</v>
      </c>
      <c r="D77" s="8">
        <v>3.0750000000000002</v>
      </c>
      <c r="E77" s="8">
        <v>4.22</v>
      </c>
      <c r="F77" s="8">
        <v>2.6549999999999998</v>
      </c>
      <c r="G77" s="8">
        <v>2.6850000000000001</v>
      </c>
      <c r="H77" s="8">
        <v>2.4649999999999999</v>
      </c>
      <c r="I77" s="8">
        <v>2.3149999999999999</v>
      </c>
      <c r="J77" s="8">
        <v>2.2650000000000001</v>
      </c>
      <c r="K77" s="8">
        <v>2.1150000000000002</v>
      </c>
      <c r="L77" s="8">
        <v>2.2650000000000001</v>
      </c>
      <c r="M77" s="8">
        <v>2.0649999999999999</v>
      </c>
      <c r="N77" s="8">
        <v>2.0649999999999999</v>
      </c>
      <c r="O77" s="8">
        <v>1.5049999999999999</v>
      </c>
      <c r="P77" s="8">
        <v>1.4550000000000001</v>
      </c>
      <c r="Q77" s="8">
        <v>1.4550000000000001</v>
      </c>
    </row>
    <row r="78" spans="1:17" x14ac:dyDescent="0.2">
      <c r="A78" s="49" t="s">
        <v>61</v>
      </c>
      <c r="B78" s="50" t="s">
        <v>16</v>
      </c>
      <c r="C78" s="49">
        <v>3</v>
      </c>
      <c r="D78" s="49">
        <v>3</v>
      </c>
      <c r="E78" s="49">
        <v>3</v>
      </c>
      <c r="F78" s="49">
        <v>3</v>
      </c>
      <c r="G78" s="49">
        <v>3</v>
      </c>
      <c r="H78" s="49">
        <v>3</v>
      </c>
      <c r="I78" s="49">
        <v>3</v>
      </c>
      <c r="J78" s="49">
        <v>3</v>
      </c>
      <c r="K78" s="49">
        <v>3</v>
      </c>
      <c r="L78" s="49">
        <v>3</v>
      </c>
      <c r="M78" s="49">
        <v>3</v>
      </c>
      <c r="N78" s="49">
        <v>3</v>
      </c>
      <c r="O78" s="49">
        <v>3</v>
      </c>
      <c r="P78" s="49">
        <v>3</v>
      </c>
      <c r="Q78" s="49">
        <v>3</v>
      </c>
    </row>
    <row r="79" spans="1:17" x14ac:dyDescent="0.2">
      <c r="A79" s="39" t="s">
        <v>61</v>
      </c>
      <c r="B79" s="10" t="s">
        <v>18</v>
      </c>
      <c r="C79" s="8">
        <v>3.2749999999999999</v>
      </c>
      <c r="D79" s="8">
        <v>3.2749999999999999</v>
      </c>
      <c r="E79" s="8">
        <v>3.2250000000000001</v>
      </c>
      <c r="F79" s="8">
        <v>2.875</v>
      </c>
      <c r="G79" s="8">
        <v>3.1124999999999998</v>
      </c>
      <c r="H79" s="8">
        <v>2.8624999999999998</v>
      </c>
      <c r="I79" s="8">
        <v>2.6</v>
      </c>
      <c r="J79" s="8">
        <v>2.6</v>
      </c>
      <c r="K79" s="8">
        <v>2.6</v>
      </c>
      <c r="L79" s="8">
        <v>2.6</v>
      </c>
      <c r="M79" s="8">
        <v>2.6</v>
      </c>
      <c r="N79" s="8">
        <v>2.6</v>
      </c>
      <c r="O79" s="8">
        <v>2.5</v>
      </c>
      <c r="P79" s="8">
        <v>2.5</v>
      </c>
      <c r="Q79" s="8">
        <v>2.5</v>
      </c>
    </row>
    <row r="80" spans="1:17" x14ac:dyDescent="0.2">
      <c r="A80" s="49" t="s">
        <v>62</v>
      </c>
      <c r="B80" s="50" t="s">
        <v>16</v>
      </c>
      <c r="C80" s="49">
        <v>4</v>
      </c>
      <c r="D80" s="49">
        <v>4</v>
      </c>
      <c r="E80" s="49">
        <v>4</v>
      </c>
      <c r="F80" s="49">
        <v>4</v>
      </c>
      <c r="G80" s="49">
        <v>4</v>
      </c>
      <c r="H80" s="49">
        <v>4</v>
      </c>
      <c r="I80" s="49">
        <v>4</v>
      </c>
      <c r="J80" s="49">
        <v>4</v>
      </c>
      <c r="K80" s="49">
        <v>4</v>
      </c>
      <c r="L80" s="49">
        <v>4</v>
      </c>
      <c r="M80" s="49">
        <v>4</v>
      </c>
      <c r="N80" s="49">
        <v>4</v>
      </c>
      <c r="O80" s="49">
        <v>4</v>
      </c>
      <c r="P80" s="49">
        <v>4</v>
      </c>
      <c r="Q80" s="49">
        <v>4</v>
      </c>
    </row>
    <row r="81" spans="1:17" x14ac:dyDescent="0.2">
      <c r="A81" s="39" t="s">
        <v>62</v>
      </c>
      <c r="B81" s="10" t="s">
        <v>18</v>
      </c>
      <c r="C81" s="8">
        <v>3.65</v>
      </c>
      <c r="D81" s="8">
        <v>3.75</v>
      </c>
      <c r="E81" s="8">
        <v>4</v>
      </c>
      <c r="F81" s="8">
        <v>3.85</v>
      </c>
      <c r="G81" s="8">
        <v>4.16</v>
      </c>
      <c r="H81" s="8">
        <v>4.0599999999999996</v>
      </c>
      <c r="I81" s="8">
        <v>4.2750000000000004</v>
      </c>
      <c r="J81" s="8">
        <v>4.1520000000000001</v>
      </c>
      <c r="K81" s="8">
        <v>3.927</v>
      </c>
      <c r="L81" s="8">
        <v>3.7269999999999999</v>
      </c>
      <c r="M81" s="8">
        <v>3.4849999999999999</v>
      </c>
      <c r="N81" s="8">
        <v>2.71</v>
      </c>
      <c r="O81" s="8">
        <v>1</v>
      </c>
      <c r="P81" s="8">
        <v>1</v>
      </c>
      <c r="Q81" s="8">
        <v>1</v>
      </c>
    </row>
    <row r="82" spans="1:17" x14ac:dyDescent="0.2">
      <c r="A82" s="49" t="s">
        <v>63</v>
      </c>
      <c r="B82" s="50" t="s">
        <v>16</v>
      </c>
      <c r="C82" s="49">
        <v>5</v>
      </c>
      <c r="D82" s="49">
        <v>5</v>
      </c>
      <c r="E82" s="49">
        <v>5</v>
      </c>
      <c r="F82" s="49">
        <v>5</v>
      </c>
      <c r="G82" s="49">
        <v>5</v>
      </c>
      <c r="H82" s="49">
        <v>5</v>
      </c>
      <c r="I82" s="49">
        <v>5</v>
      </c>
      <c r="J82" s="49">
        <v>5</v>
      </c>
      <c r="K82" s="49">
        <v>5</v>
      </c>
      <c r="L82" s="49">
        <v>5</v>
      </c>
      <c r="M82" s="49">
        <v>5</v>
      </c>
      <c r="N82" s="49">
        <v>5</v>
      </c>
      <c r="O82" s="49">
        <v>5</v>
      </c>
      <c r="P82" s="49">
        <v>5</v>
      </c>
      <c r="Q82" s="49">
        <v>5</v>
      </c>
    </row>
    <row r="83" spans="1:17" x14ac:dyDescent="0.2">
      <c r="A83" s="39" t="s">
        <v>63</v>
      </c>
      <c r="B83" s="10" t="s">
        <v>18</v>
      </c>
      <c r="C83" s="8">
        <v>4.7</v>
      </c>
      <c r="D83" s="8">
        <v>5.05</v>
      </c>
      <c r="E83" s="8">
        <v>5.05</v>
      </c>
      <c r="F83" s="8">
        <v>5.28</v>
      </c>
      <c r="G83" s="8">
        <v>5.99</v>
      </c>
      <c r="H83" s="8">
        <v>5.49</v>
      </c>
      <c r="I83" s="8">
        <v>5.15</v>
      </c>
      <c r="J83" s="8">
        <v>4.7</v>
      </c>
      <c r="K83" s="8">
        <v>4.5</v>
      </c>
      <c r="L83" s="8">
        <v>4.5</v>
      </c>
      <c r="M83" s="8">
        <v>4.5</v>
      </c>
      <c r="N83" s="8">
        <v>4.5</v>
      </c>
      <c r="O83" s="8">
        <v>3.22</v>
      </c>
      <c r="P83" s="8">
        <v>3.22</v>
      </c>
      <c r="Q83" s="8">
        <v>3.22</v>
      </c>
    </row>
    <row r="84" spans="1:17" x14ac:dyDescent="0.2">
      <c r="A84" s="49" t="s">
        <v>64</v>
      </c>
      <c r="B84" s="50" t="s">
        <v>16</v>
      </c>
      <c r="C84" s="49">
        <v>9</v>
      </c>
      <c r="D84" s="49">
        <v>11</v>
      </c>
      <c r="E84" s="49">
        <v>12</v>
      </c>
      <c r="F84" s="49">
        <v>12</v>
      </c>
      <c r="G84" s="49">
        <v>12</v>
      </c>
      <c r="H84" s="49">
        <v>12</v>
      </c>
      <c r="I84" s="49">
        <v>12</v>
      </c>
      <c r="J84" s="49">
        <v>12</v>
      </c>
      <c r="K84" s="49">
        <v>12</v>
      </c>
      <c r="L84" s="49">
        <v>12</v>
      </c>
      <c r="M84" s="49">
        <v>12</v>
      </c>
      <c r="N84" s="49">
        <v>12</v>
      </c>
      <c r="O84" s="49">
        <v>12</v>
      </c>
      <c r="P84" s="49">
        <v>12</v>
      </c>
      <c r="Q84" s="49">
        <v>12</v>
      </c>
    </row>
    <row r="85" spans="1:17" x14ac:dyDescent="0.2">
      <c r="A85" s="39" t="s">
        <v>64</v>
      </c>
      <c r="B85" s="10" t="s">
        <v>18</v>
      </c>
      <c r="C85" s="8">
        <v>7.93</v>
      </c>
      <c r="D85" s="8">
        <v>11.3</v>
      </c>
      <c r="E85" s="8">
        <v>12.51</v>
      </c>
      <c r="F85" s="8">
        <v>11.685</v>
      </c>
      <c r="G85" s="8">
        <v>12.94</v>
      </c>
      <c r="H85" s="8">
        <v>13.46</v>
      </c>
      <c r="I85" s="8">
        <v>15.4</v>
      </c>
      <c r="J85" s="8">
        <v>15.25</v>
      </c>
      <c r="K85" s="8">
        <v>15.75</v>
      </c>
      <c r="L85" s="8">
        <v>13.45</v>
      </c>
      <c r="M85" s="8">
        <v>13.2</v>
      </c>
      <c r="N85" s="8">
        <v>12.85</v>
      </c>
      <c r="O85" s="8">
        <v>9.6</v>
      </c>
      <c r="P85" s="8">
        <v>9.6</v>
      </c>
      <c r="Q85" s="8">
        <v>9.6</v>
      </c>
    </row>
    <row r="86" spans="1:17" x14ac:dyDescent="0.2">
      <c r="A86" s="42" t="s">
        <v>65</v>
      </c>
      <c r="B86" s="43" t="s">
        <v>16</v>
      </c>
      <c r="C86" s="43">
        <v>2</v>
      </c>
      <c r="D86" s="43">
        <v>2</v>
      </c>
      <c r="E86" s="43">
        <v>2</v>
      </c>
      <c r="F86" s="43">
        <v>2</v>
      </c>
      <c r="G86" s="43">
        <v>2</v>
      </c>
      <c r="H86" s="43">
        <v>2</v>
      </c>
      <c r="I86" s="43">
        <v>2</v>
      </c>
      <c r="J86" s="43">
        <v>2</v>
      </c>
      <c r="K86" s="43">
        <v>2</v>
      </c>
      <c r="L86" s="43">
        <v>2</v>
      </c>
      <c r="M86" s="43">
        <v>2</v>
      </c>
      <c r="N86" s="43">
        <v>2</v>
      </c>
      <c r="O86" s="43">
        <v>2</v>
      </c>
      <c r="P86" s="43">
        <v>2</v>
      </c>
      <c r="Q86" s="43">
        <v>2</v>
      </c>
    </row>
    <row r="87" spans="1:17" x14ac:dyDescent="0.2">
      <c r="A87" s="44" t="s">
        <v>66</v>
      </c>
      <c r="B87" s="45" t="s">
        <v>18</v>
      </c>
      <c r="C87" s="41">
        <v>1.1000000000000001</v>
      </c>
      <c r="D87" s="41">
        <v>1.9</v>
      </c>
      <c r="E87" s="41">
        <v>1.96</v>
      </c>
      <c r="F87" s="41">
        <v>1.885</v>
      </c>
      <c r="G87" s="41">
        <v>1.99</v>
      </c>
      <c r="H87" s="41">
        <v>1.96</v>
      </c>
      <c r="I87" s="41">
        <v>2.0499999999999998</v>
      </c>
      <c r="J87" s="41">
        <v>1.9</v>
      </c>
      <c r="K87" s="41">
        <v>2.15</v>
      </c>
      <c r="L87" s="41">
        <v>2.0499999999999998</v>
      </c>
      <c r="M87" s="41">
        <v>1.8</v>
      </c>
      <c r="N87" s="41">
        <v>1.6</v>
      </c>
      <c r="O87" s="41">
        <v>1.6</v>
      </c>
      <c r="P87" s="41">
        <v>1.6</v>
      </c>
      <c r="Q87" s="41">
        <v>1.6</v>
      </c>
    </row>
    <row r="88" spans="1:17" x14ac:dyDescent="0.2">
      <c r="A88" s="42" t="s">
        <v>67</v>
      </c>
      <c r="B88" s="43" t="s">
        <v>16</v>
      </c>
      <c r="C88" s="43">
        <v>1</v>
      </c>
      <c r="D88" s="43">
        <v>1</v>
      </c>
      <c r="E88" s="43">
        <v>1</v>
      </c>
      <c r="F88" s="43">
        <v>1</v>
      </c>
      <c r="G88" s="43">
        <v>1</v>
      </c>
      <c r="H88" s="43">
        <v>1</v>
      </c>
      <c r="I88" s="43">
        <v>1</v>
      </c>
      <c r="J88" s="43">
        <v>1</v>
      </c>
      <c r="K88" s="43">
        <v>1</v>
      </c>
      <c r="L88" s="43">
        <v>1</v>
      </c>
      <c r="M88" s="43">
        <v>1</v>
      </c>
      <c r="N88" s="43">
        <v>1</v>
      </c>
      <c r="O88" s="43">
        <v>1</v>
      </c>
      <c r="P88" s="43">
        <v>1</v>
      </c>
      <c r="Q88" s="43">
        <v>1</v>
      </c>
    </row>
    <row r="89" spans="1:17" x14ac:dyDescent="0.2">
      <c r="A89" s="44" t="s">
        <v>68</v>
      </c>
      <c r="B89" s="45" t="s">
        <v>18</v>
      </c>
      <c r="C89" s="41">
        <v>1</v>
      </c>
      <c r="D89" s="41">
        <v>1</v>
      </c>
      <c r="E89" s="41">
        <v>1</v>
      </c>
      <c r="F89" s="41">
        <v>1</v>
      </c>
      <c r="G89" s="41">
        <v>1</v>
      </c>
      <c r="H89" s="41">
        <v>1</v>
      </c>
      <c r="I89" s="41">
        <v>1</v>
      </c>
      <c r="J89" s="41">
        <v>1</v>
      </c>
      <c r="K89" s="41">
        <v>1</v>
      </c>
      <c r="L89" s="41">
        <v>1</v>
      </c>
      <c r="M89" s="41">
        <v>1</v>
      </c>
      <c r="N89" s="41">
        <v>1</v>
      </c>
      <c r="O89" s="41">
        <v>1</v>
      </c>
      <c r="P89" s="41">
        <v>1</v>
      </c>
      <c r="Q89" s="41">
        <v>1</v>
      </c>
    </row>
    <row r="90" spans="1:17" x14ac:dyDescent="0.2">
      <c r="A90" s="42" t="s">
        <v>69</v>
      </c>
      <c r="B90" s="43" t="s">
        <v>16</v>
      </c>
      <c r="C90" s="43">
        <v>6</v>
      </c>
      <c r="D90" s="43">
        <v>8</v>
      </c>
      <c r="E90" s="43">
        <v>9</v>
      </c>
      <c r="F90" s="43">
        <v>9</v>
      </c>
      <c r="G90" s="43">
        <v>9</v>
      </c>
      <c r="H90" s="43">
        <v>9</v>
      </c>
      <c r="I90" s="43">
        <v>9</v>
      </c>
      <c r="J90" s="43">
        <v>9</v>
      </c>
      <c r="K90" s="43">
        <v>9</v>
      </c>
      <c r="L90" s="43">
        <v>9</v>
      </c>
      <c r="M90" s="43">
        <v>9</v>
      </c>
      <c r="N90" s="43">
        <v>9</v>
      </c>
      <c r="O90" s="43">
        <v>9</v>
      </c>
      <c r="P90" s="43">
        <v>9</v>
      </c>
      <c r="Q90" s="43">
        <v>9</v>
      </c>
    </row>
    <row r="91" spans="1:17" x14ac:dyDescent="0.2">
      <c r="A91" s="44" t="s">
        <v>70</v>
      </c>
      <c r="B91" s="45" t="s">
        <v>18</v>
      </c>
      <c r="C91" s="41">
        <v>5.83</v>
      </c>
      <c r="D91" s="41">
        <v>8.4</v>
      </c>
      <c r="E91" s="41">
        <v>9.5500000000000007</v>
      </c>
      <c r="F91" s="41">
        <v>8.8000000000000007</v>
      </c>
      <c r="G91" s="41">
        <v>9.9499999999999993</v>
      </c>
      <c r="H91" s="41">
        <v>10.5</v>
      </c>
      <c r="I91" s="41">
        <v>12.35</v>
      </c>
      <c r="J91" s="41">
        <v>12.35</v>
      </c>
      <c r="K91" s="41">
        <v>12.6</v>
      </c>
      <c r="L91" s="41">
        <v>10.4</v>
      </c>
      <c r="M91" s="41">
        <v>10.4</v>
      </c>
      <c r="N91" s="41">
        <v>10.25</v>
      </c>
      <c r="O91" s="41">
        <v>7</v>
      </c>
      <c r="P91" s="41">
        <v>7</v>
      </c>
      <c r="Q91" s="41">
        <v>7</v>
      </c>
    </row>
    <row r="92" spans="1:17" x14ac:dyDescent="0.2">
      <c r="A92" s="49" t="s">
        <v>71</v>
      </c>
      <c r="B92" s="50" t="s">
        <v>16</v>
      </c>
      <c r="C92" s="49">
        <v>4</v>
      </c>
      <c r="D92" s="49">
        <v>4</v>
      </c>
      <c r="E92" s="49">
        <v>4</v>
      </c>
      <c r="F92" s="49">
        <v>4</v>
      </c>
      <c r="G92" s="49">
        <v>4</v>
      </c>
      <c r="H92" s="49">
        <v>4</v>
      </c>
      <c r="I92" s="49">
        <v>4</v>
      </c>
      <c r="J92" s="49">
        <v>4</v>
      </c>
      <c r="K92" s="49">
        <v>4</v>
      </c>
      <c r="L92" s="49">
        <v>4</v>
      </c>
      <c r="M92" s="49">
        <v>4</v>
      </c>
      <c r="N92" s="49">
        <v>4</v>
      </c>
      <c r="O92" s="49">
        <v>4</v>
      </c>
      <c r="P92" s="49">
        <v>4</v>
      </c>
      <c r="Q92" s="49">
        <v>4</v>
      </c>
    </row>
    <row r="93" spans="1:17" x14ac:dyDescent="0.2">
      <c r="A93" s="39" t="s">
        <v>71</v>
      </c>
      <c r="B93" s="10" t="s">
        <v>18</v>
      </c>
      <c r="C93" s="8">
        <v>3.08</v>
      </c>
      <c r="D93" s="8">
        <v>2.94</v>
      </c>
      <c r="E93" s="8">
        <v>2.99</v>
      </c>
      <c r="F93" s="8">
        <v>3.07</v>
      </c>
      <c r="G93" s="8">
        <v>3.07</v>
      </c>
      <c r="H93" s="8">
        <v>3.23</v>
      </c>
      <c r="I93" s="8">
        <v>3.83</v>
      </c>
      <c r="J93" s="8">
        <v>3.83</v>
      </c>
      <c r="K93" s="8">
        <v>3.83</v>
      </c>
      <c r="L93" s="8">
        <v>3.83</v>
      </c>
      <c r="M93" s="8">
        <v>4.2</v>
      </c>
      <c r="N93" s="8">
        <v>5.2</v>
      </c>
      <c r="O93" s="8">
        <v>5.2</v>
      </c>
      <c r="P93" s="8">
        <v>5.2</v>
      </c>
      <c r="Q93" s="8">
        <v>5.2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DECC7-A84D-544D-B660-F6AF46B2986D}">
  <sheetPr>
    <tabColor theme="8" tint="0.79998168889431442"/>
  </sheetPr>
  <dimension ref="A1:P153"/>
  <sheetViews>
    <sheetView workbookViewId="0">
      <pane ySplit="1" topLeftCell="A145" activePane="bottomLeft" state="frozen"/>
      <selection pane="bottomLeft" activeCell="A151" sqref="A151:XFD153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IF(SD!C1&gt;0,SD!C1,"")</f>
        <v>JAN</v>
      </c>
      <c r="C1" t="str">
        <f>IF(SD!D1&gt;0,SD!D1,"")</f>
        <v>FEB</v>
      </c>
      <c r="D1" t="str">
        <f>IF(SD!E1&gt;0,SD!E1,"")</f>
        <v>MAR</v>
      </c>
      <c r="E1" t="str">
        <f>IF(SD!F1&gt;0,SD!F1,"")</f>
        <v>APR</v>
      </c>
      <c r="F1" t="str">
        <f>IF(SD!G1&gt;0,SD!G1,"")</f>
        <v>MAY</v>
      </c>
      <c r="G1" t="str">
        <f>IF(SD!H1&gt;0,SD!H1,"")</f>
        <v>JUN</v>
      </c>
      <c r="H1" t="str">
        <f>IF(SD!I1&gt;0,SD!I1,"")</f>
        <v>JUL</v>
      </c>
      <c r="I1" t="str">
        <f>IF(SD!J1&gt;0,SD!J1,"")</f>
        <v>AUG</v>
      </c>
      <c r="J1" t="str">
        <f>IF(SD!K1&gt;0,SD!K1,"")</f>
        <v>SEP</v>
      </c>
      <c r="K1" t="str">
        <f>IF(SD!L1&gt;0,SD!L1,"")</f>
        <v>OCT</v>
      </c>
      <c r="L1" t="str">
        <f>IF(SD!M1&gt;0,SD!M1,"")</f>
        <v>NOV</v>
      </c>
      <c r="M1" t="str">
        <f>IF(SD!N1&gt;0,SD!N1,"")</f>
        <v>DEC</v>
      </c>
      <c r="N1" t="str">
        <f>IF(SD!O1&gt;0,SD!O1,"")</f>
        <v>JAN'27</v>
      </c>
      <c r="O1" t="str">
        <f>IF(SD!P1&gt;0,SD!P1,"")</f>
        <v>FEB'27</v>
      </c>
      <c r="P1" t="str">
        <f>IF(SD!Q1&gt;0,SD!Q1,"")</f>
        <v>MAR'27</v>
      </c>
    </row>
    <row r="2" spans="1:16" x14ac:dyDescent="0.2">
      <c r="A2" t="str">
        <f>IF(SD!B2&gt;0,SD!B2,"")</f>
        <v>Staff</v>
      </c>
      <c r="B2">
        <f>IF(SD!C2&gt;0,SD!C2,"")</f>
        <v>43</v>
      </c>
      <c r="C2">
        <f>IF(SD!D2&gt;0,SD!D2,"")</f>
        <v>45</v>
      </c>
      <c r="D2">
        <f>IF(SD!E2&gt;0,SD!E2,"")</f>
        <v>46</v>
      </c>
      <c r="E2">
        <f>IF(SD!F2&gt;0,SD!F2,"")</f>
        <v>46</v>
      </c>
      <c r="F2">
        <f>IF(SD!G2&gt;0,SD!G2,"")</f>
        <v>46</v>
      </c>
      <c r="G2">
        <f>IF(SD!H2&gt;0,SD!H2,"")</f>
        <v>46</v>
      </c>
      <c r="H2">
        <f>IF(SD!I2&gt;0,SD!I2,"")</f>
        <v>46</v>
      </c>
      <c r="I2">
        <f>IF(SD!J2&gt;0,SD!J2,"")</f>
        <v>46</v>
      </c>
      <c r="J2">
        <f>IF(SD!K2&gt;0,SD!K2,"")</f>
        <v>46</v>
      </c>
      <c r="K2">
        <f>IF(SD!L2&gt;0,SD!L2,"")</f>
        <v>46</v>
      </c>
      <c r="L2">
        <f>IF(SD!M2&gt;0,SD!M2,"")</f>
        <v>46</v>
      </c>
      <c r="M2">
        <f>IF(SD!N2&gt;0,SD!N2,"")</f>
        <v>46</v>
      </c>
      <c r="N2">
        <f>IF(SD!O2&gt;0,SD!O2,"")</f>
        <v>46</v>
      </c>
      <c r="O2">
        <f>IF(SD!P2&gt;0,SD!P2,"")</f>
        <v>46</v>
      </c>
      <c r="P2">
        <f>IF(SD!Q2&gt;0,SD!Q2,"")</f>
        <v>46</v>
      </c>
    </row>
    <row r="3" spans="1:16" x14ac:dyDescent="0.2">
      <c r="A3" t="str">
        <f>IF(SD!B3&gt;0,SD!B3,"")</f>
        <v>Staff AVG</v>
      </c>
      <c r="B3">
        <f>IF(SD!C3&gt;0,SD!C3,"")</f>
        <v>46</v>
      </c>
      <c r="C3">
        <f>IF(SD!D3&gt;0,SD!D3,"")</f>
        <v>46</v>
      </c>
      <c r="D3">
        <f>IF(SD!E3&gt;0,SD!E3,"")</f>
        <v>46</v>
      </c>
      <c r="E3">
        <f>IF(SD!F3&gt;0,SD!F3,"")</f>
        <v>46</v>
      </c>
      <c r="F3">
        <f>IF(SD!G3&gt;0,SD!G3,"")</f>
        <v>46</v>
      </c>
      <c r="G3">
        <f>IF(SD!H3&gt;0,SD!H3,"")</f>
        <v>46</v>
      </c>
      <c r="H3">
        <f>IF(SD!I3&gt;0,SD!I3,"")</f>
        <v>46</v>
      </c>
      <c r="I3">
        <f>IF(SD!J3&gt;0,SD!J3,"")</f>
        <v>46</v>
      </c>
      <c r="J3">
        <f>IF(SD!K3&gt;0,SD!K3,"")</f>
        <v>46</v>
      </c>
      <c r="K3">
        <f>IF(SD!L3&gt;0,SD!L3,"")</f>
        <v>46</v>
      </c>
      <c r="L3">
        <f>IF(SD!M3&gt;0,SD!M3,"")</f>
        <v>46</v>
      </c>
      <c r="M3">
        <f>IF(SD!N3&gt;0,SD!N3,"")</f>
        <v>46</v>
      </c>
      <c r="N3">
        <f>IF(SD!O3&gt;0,SD!O3,"")</f>
        <v>46</v>
      </c>
      <c r="O3">
        <f>IF(SD!P3&gt;0,SD!P3,"")</f>
        <v>46</v>
      </c>
      <c r="P3">
        <f>IF(SD!Q3&gt;0,SD!Q3,"")</f>
        <v>46</v>
      </c>
    </row>
    <row r="4" spans="1:16" x14ac:dyDescent="0.2">
      <c r="A4" t="str">
        <f>IF(SD!B4&gt;0,SD!B4,"")</f>
        <v>Plan</v>
      </c>
      <c r="B4">
        <f>IF(SD!C4&gt;0,SD!C4,"")</f>
        <v>40</v>
      </c>
      <c r="C4">
        <f>IF(SD!D4&gt;0,SD!D4,"")</f>
        <v>46</v>
      </c>
      <c r="D4">
        <f>IF(SD!E4&gt;0,SD!E4,"")</f>
        <v>48</v>
      </c>
      <c r="E4">
        <f>IF(SD!F4&gt;0,SD!F4,"")</f>
        <v>44</v>
      </c>
      <c r="F4">
        <f>IF(SD!G4&gt;0,SD!G4,"")</f>
        <v>46</v>
      </c>
      <c r="G4">
        <f>IF(SD!H4&gt;0,SD!H4,"")</f>
        <v>46</v>
      </c>
      <c r="H4">
        <f>IF(SD!I4&gt;0,SD!I4,"")</f>
        <v>48</v>
      </c>
      <c r="I4">
        <f>IF(SD!J4&gt;0,SD!J4,"")</f>
        <v>46</v>
      </c>
      <c r="J4">
        <f>IF(SD!K4&gt;0,SD!K4,"")</f>
        <v>45</v>
      </c>
      <c r="K4">
        <f>IF(SD!L4&gt;0,SD!L4,"")</f>
        <v>42</v>
      </c>
      <c r="L4">
        <f>IF(SD!M4&gt;0,SD!M4,"")</f>
        <v>42</v>
      </c>
      <c r="M4">
        <f>IF(SD!N4&gt;0,SD!N4,"")</f>
        <v>42</v>
      </c>
      <c r="N4">
        <f>IF(SD!O4&gt;0,SD!O4,"")</f>
        <v>32</v>
      </c>
      <c r="O4">
        <f>IF(SD!P4&gt;0,SD!P4,"")</f>
        <v>32</v>
      </c>
      <c r="P4">
        <f>IF(SD!Q4&gt;0,SD!Q4,"")</f>
        <v>32</v>
      </c>
    </row>
    <row r="5" spans="1:16" x14ac:dyDescent="0.2">
      <c r="A5" t="str">
        <f>IF(SD!B11&gt;0,SD!B11,"")</f>
        <v>PAYROLL</v>
      </c>
      <c r="B5">
        <f>IF(SD!C11&gt;0,SD!C11,"")</f>
        <v>33</v>
      </c>
      <c r="C5">
        <f>IF(SD!D11&gt;0,SD!D11,"")</f>
        <v>35</v>
      </c>
      <c r="D5">
        <f>IF(SD!E11&gt;0,SD!E11,"")</f>
        <v>36</v>
      </c>
      <c r="E5">
        <f>IF(SD!F11&gt;0,SD!F11,"")</f>
        <v>33</v>
      </c>
      <c r="F5">
        <f>IF(SD!G11&gt;0,SD!G11,"")</f>
        <v>34</v>
      </c>
      <c r="G5">
        <f>IF(SD!H11&gt;0,SD!H11,"")</f>
        <v>34</v>
      </c>
      <c r="H5">
        <f>IF(SD!I11&gt;0,SD!I11,"")</f>
        <v>33</v>
      </c>
      <c r="I5">
        <f>IF(SD!J11&gt;0,SD!J11,"")</f>
        <v>32</v>
      </c>
      <c r="J5">
        <f>IF(SD!K11&gt;0,SD!K11,"")</f>
        <v>31</v>
      </c>
      <c r="K5">
        <f>IF(SD!L11&gt;0,SD!L11,"")</f>
        <v>30</v>
      </c>
      <c r="L5">
        <f>IF(SD!M11&gt;0,SD!M11,"")</f>
        <v>30</v>
      </c>
      <c r="M5">
        <f>IF(SD!N11&gt;0,SD!N11,"")</f>
        <v>29</v>
      </c>
      <c r="N5">
        <f>IF(SD!O11&gt;0,SD!O11,"")</f>
        <v>23</v>
      </c>
      <c r="O5">
        <f>IF(SD!P11&gt;0,SD!P11,"")</f>
        <v>23</v>
      </c>
      <c r="P5">
        <f>IF(SD!Q11&gt;0,SD!Q11,"")</f>
        <v>23</v>
      </c>
    </row>
    <row r="6" spans="1:16" x14ac:dyDescent="0.2">
      <c r="A6" t="str">
        <f>IF(SD!B15&gt;0,SD!B15,"")</f>
        <v>CONTRACTOR</v>
      </c>
      <c r="B6">
        <f>IF(SD!C15&gt;0,SD!C15,"")</f>
        <v>2</v>
      </c>
      <c r="C6">
        <f>IF(SD!D15&gt;0,SD!D15,"")</f>
        <v>2</v>
      </c>
      <c r="D6">
        <f>IF(SD!E15&gt;0,SD!E15,"")</f>
        <v>2</v>
      </c>
      <c r="E6">
        <f>IF(SD!F15&gt;0,SD!F15,"")</f>
        <v>2</v>
      </c>
      <c r="F6">
        <f>IF(SD!G15&gt;0,SD!G15,"")</f>
        <v>2</v>
      </c>
      <c r="G6">
        <f>IF(SD!H15&gt;0,SD!H15,"")</f>
        <v>2</v>
      </c>
      <c r="H6">
        <f>IF(SD!I15&gt;0,SD!I15,"")</f>
        <v>2</v>
      </c>
      <c r="I6">
        <f>IF(SD!J15&gt;0,SD!J15,"")</f>
        <v>2</v>
      </c>
      <c r="J6">
        <f>IF(SD!K15&gt;0,SD!K15,"")</f>
        <v>2</v>
      </c>
      <c r="K6">
        <f>IF(SD!L15&gt;0,SD!L15,"")</f>
        <v>2</v>
      </c>
      <c r="L6">
        <f>IF(SD!M15&gt;0,SD!M15,"")</f>
        <v>2</v>
      </c>
      <c r="M6">
        <f>IF(SD!N15&gt;0,SD!N15,"")</f>
        <v>2</v>
      </c>
      <c r="N6">
        <f>IF(SD!O15&gt;0,SD!O15,"")</f>
        <v>2</v>
      </c>
      <c r="O6">
        <f>IF(SD!P15&gt;0,SD!P15,"")</f>
        <v>2</v>
      </c>
      <c r="P6">
        <f>IF(SD!Q15&gt;0,SD!Q15,"")</f>
        <v>2</v>
      </c>
    </row>
    <row r="7" spans="1:16" x14ac:dyDescent="0.2">
      <c r="A7" t="str">
        <f>IF(SD!B19&gt;0,SD!B19,"")</f>
        <v>OUTSOURCE</v>
      </c>
      <c r="B7">
        <f>IF(SD!C19&gt;0,SD!C19,"")</f>
        <v>6</v>
      </c>
      <c r="C7">
        <f>IF(SD!D19&gt;0,SD!D19,"")</f>
        <v>8</v>
      </c>
      <c r="D7">
        <f>IF(SD!E19&gt;0,SD!E19,"")</f>
        <v>10</v>
      </c>
      <c r="E7">
        <f>IF(SD!F19&gt;0,SD!F19,"")</f>
        <v>9</v>
      </c>
      <c r="F7">
        <f>IF(SD!G19&gt;0,SD!G19,"")</f>
        <v>10</v>
      </c>
      <c r="G7">
        <f>IF(SD!H19&gt;0,SD!H19,"")</f>
        <v>11</v>
      </c>
      <c r="H7">
        <f>IF(SD!I19&gt;0,SD!I19,"")</f>
        <v>12</v>
      </c>
      <c r="I7">
        <f>IF(SD!J19&gt;0,SD!J19,"")</f>
        <v>12</v>
      </c>
      <c r="J7">
        <f>IF(SD!K19&gt;0,SD!K19,"")</f>
        <v>13</v>
      </c>
      <c r="K7">
        <f>IF(SD!L19&gt;0,SD!L19,"")</f>
        <v>10</v>
      </c>
      <c r="L7">
        <f>IF(SD!M19&gt;0,SD!M19,"")</f>
        <v>10</v>
      </c>
      <c r="M7">
        <f>IF(SD!N19&gt;0,SD!N19,"")</f>
        <v>10</v>
      </c>
      <c r="N7">
        <f>IF(SD!O19&gt;0,SD!O19,"")</f>
        <v>7</v>
      </c>
      <c r="O7">
        <f>IF(SD!P19&gt;0,SD!P19,"")</f>
        <v>7</v>
      </c>
      <c r="P7">
        <f>IF(SD!Q19&gt;0,SD!Q19,"")</f>
        <v>7</v>
      </c>
    </row>
    <row r="11" spans="1:16" x14ac:dyDescent="0.2">
      <c r="B11" t="str">
        <f>IF(SD!C1&gt;0,SD!C1,"")</f>
        <v>JAN</v>
      </c>
      <c r="C11" t="str">
        <f>IF(SD!D1&gt;0,SD!D1,"")</f>
        <v>FEB</v>
      </c>
      <c r="D11" t="str">
        <f>IF(SD!E1&gt;0,SD!E1,"")</f>
        <v>MAR</v>
      </c>
      <c r="E11" t="str">
        <f>IF(SD!F1&gt;0,SD!F1,"")</f>
        <v>APR</v>
      </c>
      <c r="F11" t="str">
        <f>IF(SD!G1&gt;0,SD!G1,"")</f>
        <v>MAY</v>
      </c>
      <c r="G11" t="str">
        <f>IF(SD!H1&gt;0,SD!H1,"")</f>
        <v>JUN</v>
      </c>
      <c r="H11" t="str">
        <f>IF(SD!I1&gt;0,SD!I1,"")</f>
        <v>JUL</v>
      </c>
      <c r="I11" t="str">
        <f>IF(SD!J1&gt;0,SD!J1,"")</f>
        <v>AUG</v>
      </c>
      <c r="J11" t="str">
        <f>IF(SD!K1&gt;0,SD!K1,"")</f>
        <v>SEP</v>
      </c>
      <c r="K11" t="str">
        <f>IF(SD!L1&gt;0,SD!L1,"")</f>
        <v>OCT</v>
      </c>
      <c r="L11" t="str">
        <f>IF(SD!M1&gt;0,SD!M1,"")</f>
        <v>NOV</v>
      </c>
      <c r="M11" t="str">
        <f>IF(SD!N1&gt;0,SD!N1,"")</f>
        <v>DEC</v>
      </c>
      <c r="N11" t="str">
        <f>IF(SD!O1&gt;0,SD!O1,"")</f>
        <v>JAN'27</v>
      </c>
      <c r="O11" t="str">
        <f>IF(SD!P1&gt;0,SD!P1,"")</f>
        <v>FEB'27</v>
      </c>
      <c r="P11" t="str">
        <f>IF(SD!Q1&gt;0,SD!Q1,"")</f>
        <v>MAR'27</v>
      </c>
    </row>
    <row r="12" spans="1:16" x14ac:dyDescent="0.2">
      <c r="A12" t="str">
        <f>IF(SD!B2&gt;0,SD!B2,"")</f>
        <v>Staff</v>
      </c>
      <c r="B12">
        <f>IF(SD!C9&gt;0,SD!C9,"")</f>
        <v>35</v>
      </c>
      <c r="C12">
        <f>IF(SD!D9&gt;0,SD!D9,"")</f>
        <v>35</v>
      </c>
      <c r="D12">
        <f>IF(SD!E9&gt;0,SD!E9,"")</f>
        <v>35</v>
      </c>
      <c r="E12">
        <f>IF(SD!F9&gt;0,SD!F9,"")</f>
        <v>35</v>
      </c>
      <c r="F12">
        <f>IF(SD!G9&gt;0,SD!G9,"")</f>
        <v>35</v>
      </c>
      <c r="G12">
        <f>IF(SD!H9&gt;0,SD!H9,"")</f>
        <v>35</v>
      </c>
      <c r="H12">
        <f>IF(SD!I9&gt;0,SD!I9,"")</f>
        <v>35</v>
      </c>
      <c r="I12">
        <f>IF(SD!J9&gt;0,SD!J9,"")</f>
        <v>35</v>
      </c>
      <c r="J12">
        <f>IF(SD!K9&gt;0,SD!K9,"")</f>
        <v>35</v>
      </c>
      <c r="K12">
        <f>IF(SD!L9&gt;0,SD!L9,"")</f>
        <v>35</v>
      </c>
      <c r="L12">
        <f>IF(SD!M9&gt;0,SD!M9,"")</f>
        <v>35</v>
      </c>
      <c r="M12">
        <f>IF(SD!N9&gt;0,SD!N9,"")</f>
        <v>35</v>
      </c>
      <c r="N12">
        <f>IF(SD!O9&gt;0,SD!O9,"")</f>
        <v>35</v>
      </c>
      <c r="O12">
        <f>IF(SD!P9&gt;0,SD!P9,"")</f>
        <v>35</v>
      </c>
      <c r="P12">
        <f>IF(SD!Q9&gt;0,SD!Q9,"")</f>
        <v>35</v>
      </c>
    </row>
    <row r="13" spans="1:16" x14ac:dyDescent="0.2">
      <c r="A13" t="str">
        <f>IF(SD!B3&gt;0,SD!B3,"")</f>
        <v>Staff AVG</v>
      </c>
      <c r="B13">
        <f>IF(SD!C10&gt;0,SD!C10,"")</f>
        <v>35</v>
      </c>
      <c r="C13">
        <f>IF(SD!D10&gt;0,SD!D10,"")</f>
        <v>35</v>
      </c>
      <c r="D13">
        <f>IF(SD!E10&gt;0,SD!E10,"")</f>
        <v>35</v>
      </c>
      <c r="E13">
        <f>IF(SD!F10&gt;0,SD!F10,"")</f>
        <v>35</v>
      </c>
      <c r="F13">
        <f>IF(SD!G10&gt;0,SD!G10,"")</f>
        <v>35</v>
      </c>
      <c r="G13">
        <f>IF(SD!H10&gt;0,SD!H10,"")</f>
        <v>35</v>
      </c>
      <c r="H13">
        <f>IF(SD!I10&gt;0,SD!I10,"")</f>
        <v>35</v>
      </c>
      <c r="I13">
        <f>IF(SD!J10&gt;0,SD!J10,"")</f>
        <v>35</v>
      </c>
      <c r="J13">
        <f>IF(SD!K10&gt;0,SD!K10,"")</f>
        <v>35</v>
      </c>
      <c r="K13">
        <f>IF(SD!L10&gt;0,SD!L10,"")</f>
        <v>35</v>
      </c>
      <c r="L13">
        <f>IF(SD!M10&gt;0,SD!M10,"")</f>
        <v>35</v>
      </c>
      <c r="M13">
        <f>IF(SD!N10&gt;0,SD!N10,"")</f>
        <v>35</v>
      </c>
      <c r="N13">
        <f>IF(SD!O10&gt;0,SD!O10,"")</f>
        <v>35</v>
      </c>
      <c r="O13">
        <f>IF(SD!P10&gt;0,SD!P10,"")</f>
        <v>35</v>
      </c>
      <c r="P13">
        <f>IF(SD!Q10&gt;0,SD!Q10,"")</f>
        <v>35</v>
      </c>
    </row>
    <row r="14" spans="1:16" x14ac:dyDescent="0.2">
      <c r="A14" t="str">
        <f>IF(SD!B4&gt;0,SD!B4,"")</f>
        <v>Plan</v>
      </c>
      <c r="B14">
        <f>IF(SD!C11&gt;0,SD!C11,"")</f>
        <v>33</v>
      </c>
      <c r="C14">
        <f>IF(SD!D11&gt;0,SD!D11,"")</f>
        <v>35</v>
      </c>
      <c r="D14">
        <f>IF(SD!E11&gt;0,SD!E11,"")</f>
        <v>36</v>
      </c>
      <c r="E14">
        <f>IF(SD!F11&gt;0,SD!F11,"")</f>
        <v>33</v>
      </c>
      <c r="F14">
        <f>IF(SD!G11&gt;0,SD!G11,"")</f>
        <v>34</v>
      </c>
      <c r="G14">
        <f>IF(SD!H11&gt;0,SD!H11,"")</f>
        <v>34</v>
      </c>
      <c r="H14">
        <f>IF(SD!I11&gt;0,SD!I11,"")</f>
        <v>33</v>
      </c>
      <c r="I14">
        <f>IF(SD!J11&gt;0,SD!J11,"")</f>
        <v>32</v>
      </c>
      <c r="J14">
        <f>IF(SD!K11&gt;0,SD!K11,"")</f>
        <v>31</v>
      </c>
      <c r="K14">
        <f>IF(SD!L11&gt;0,SD!L11,"")</f>
        <v>30</v>
      </c>
      <c r="L14">
        <f>IF(SD!M11&gt;0,SD!M11,"")</f>
        <v>30</v>
      </c>
      <c r="M14">
        <f>IF(SD!N11&gt;0,SD!N11,"")</f>
        <v>29</v>
      </c>
      <c r="N14">
        <f>IF(SD!O11&gt;0,SD!O11,"")</f>
        <v>23</v>
      </c>
      <c r="O14">
        <f>IF(SD!P11&gt;0,SD!P11,"")</f>
        <v>23</v>
      </c>
      <c r="P14">
        <f>IF(SD!Q11&gt;0,SD!Q11,"")</f>
        <v>23</v>
      </c>
    </row>
    <row r="21" spans="1:16" x14ac:dyDescent="0.2">
      <c r="B21" t="str">
        <f>IF(SD!C1&gt;0,SD!C1,"")</f>
        <v>JAN</v>
      </c>
      <c r="C21" t="str">
        <f>IF(SD!D1&gt;0,SD!D1,"")</f>
        <v>FEB</v>
      </c>
      <c r="D21" t="str">
        <f>IF(SD!E1&gt;0,SD!E1,"")</f>
        <v>MAR</v>
      </c>
      <c r="E21" t="str">
        <f>IF(SD!F1&gt;0,SD!F1,"")</f>
        <v>APR</v>
      </c>
      <c r="F21" t="str">
        <f>IF(SD!G1&gt;0,SD!G1,"")</f>
        <v>MAY</v>
      </c>
      <c r="G21" t="str">
        <f>IF(SD!H1&gt;0,SD!H1,"")</f>
        <v>JUN</v>
      </c>
      <c r="H21" t="str">
        <f>IF(SD!I1&gt;0,SD!I1,"")</f>
        <v>JUL</v>
      </c>
      <c r="I21" t="str">
        <f>IF(SD!J1&gt;0,SD!J1,"")</f>
        <v>AUG</v>
      </c>
      <c r="J21" t="str">
        <f>IF(SD!K1&gt;0,SD!K1,"")</f>
        <v>SEP</v>
      </c>
      <c r="K21" t="str">
        <f>IF(SD!L1&gt;0,SD!L1,"")</f>
        <v>OCT</v>
      </c>
      <c r="L21" t="str">
        <f>IF(SD!M1&gt;0,SD!M1,"")</f>
        <v>NOV</v>
      </c>
      <c r="M21" t="str">
        <f>IF(SD!N1&gt;0,SD!N1,"")</f>
        <v>DEC</v>
      </c>
      <c r="N21" t="str">
        <f>IF(SD!O1&gt;0,SD!O1,"")</f>
        <v>JAN'27</v>
      </c>
      <c r="O21" t="str">
        <f>IF(SD!P1&gt;0,SD!P1,"")</f>
        <v>FEB'27</v>
      </c>
      <c r="P21" t="str">
        <f>IF(SD!Q1&gt;0,SD!Q1,"")</f>
        <v>MAR'27</v>
      </c>
    </row>
    <row r="22" spans="1:16" x14ac:dyDescent="0.2">
      <c r="A22" t="str">
        <f>IF(SD!B2&gt;0,SD!B2,"")</f>
        <v>Staff</v>
      </c>
      <c r="B22">
        <f>IF(SD!C13&gt;0,SD!C13,"")</f>
        <v>2</v>
      </c>
      <c r="C22">
        <f>IF(SD!D13&gt;0,SD!D13,"")</f>
        <v>2</v>
      </c>
      <c r="D22">
        <f>IF(SD!E13&gt;0,SD!E13,"")</f>
        <v>2</v>
      </c>
      <c r="E22">
        <f>IF(SD!F13&gt;0,SD!F13,"")</f>
        <v>2</v>
      </c>
      <c r="F22">
        <f>IF(SD!G13&gt;0,SD!G13,"")</f>
        <v>2</v>
      </c>
      <c r="G22">
        <f>IF(SD!H13&gt;0,SD!H13,"")</f>
        <v>2</v>
      </c>
      <c r="H22">
        <f>IF(SD!I13&gt;0,SD!I13,"")</f>
        <v>2</v>
      </c>
      <c r="I22">
        <f>IF(SD!J13&gt;0,SD!J13,"")</f>
        <v>2</v>
      </c>
      <c r="J22">
        <f>IF(SD!K13&gt;0,SD!K13,"")</f>
        <v>2</v>
      </c>
      <c r="K22">
        <f>IF(SD!L13&gt;0,SD!L13,"")</f>
        <v>2</v>
      </c>
      <c r="L22">
        <f>IF(SD!M13&gt;0,SD!M13,"")</f>
        <v>2</v>
      </c>
      <c r="M22">
        <f>IF(SD!N13&gt;0,SD!N13,"")</f>
        <v>2</v>
      </c>
      <c r="N22">
        <f>IF(SD!O13&gt;0,SD!O13,"")</f>
        <v>2</v>
      </c>
      <c r="O22">
        <f>IF(SD!P13&gt;0,SD!P13,"")</f>
        <v>2</v>
      </c>
      <c r="P22">
        <f>IF(SD!Q13&gt;0,SD!Q13,"")</f>
        <v>2</v>
      </c>
    </row>
    <row r="23" spans="1:16" x14ac:dyDescent="0.2">
      <c r="A23" t="str">
        <f>IF(SD!B3&gt;0,SD!B3,"")</f>
        <v>Staff AVG</v>
      </c>
      <c r="B23">
        <f>IF(SD!C14&gt;0,SD!C14,"")</f>
        <v>2</v>
      </c>
      <c r="C23">
        <f>IF(SD!D14&gt;0,SD!D14,"")</f>
        <v>2</v>
      </c>
      <c r="D23">
        <f>IF(SD!E14&gt;0,SD!E14,"")</f>
        <v>2</v>
      </c>
      <c r="E23">
        <f>IF(SD!F14&gt;0,SD!F14,"")</f>
        <v>2</v>
      </c>
      <c r="F23">
        <f>IF(SD!G14&gt;0,SD!G14,"")</f>
        <v>2</v>
      </c>
      <c r="G23">
        <f>IF(SD!H14&gt;0,SD!H14,"")</f>
        <v>2</v>
      </c>
      <c r="H23">
        <f>IF(SD!I14&gt;0,SD!I14,"")</f>
        <v>2</v>
      </c>
      <c r="I23">
        <f>IF(SD!J14&gt;0,SD!J14,"")</f>
        <v>2</v>
      </c>
      <c r="J23">
        <f>IF(SD!K14&gt;0,SD!K14,"")</f>
        <v>2</v>
      </c>
      <c r="K23">
        <f>IF(SD!L14&gt;0,SD!L14,"")</f>
        <v>2</v>
      </c>
      <c r="L23">
        <f>IF(SD!M14&gt;0,SD!M14,"")</f>
        <v>2</v>
      </c>
      <c r="M23">
        <f>IF(SD!N14&gt;0,SD!N14,"")</f>
        <v>2</v>
      </c>
      <c r="N23">
        <f>IF(SD!O14&gt;0,SD!O14,"")</f>
        <v>2</v>
      </c>
      <c r="O23">
        <f>IF(SD!P14&gt;0,SD!P14,"")</f>
        <v>2</v>
      </c>
      <c r="P23">
        <f>IF(SD!Q14&gt;0,SD!Q14,"")</f>
        <v>2</v>
      </c>
    </row>
    <row r="24" spans="1:16" x14ac:dyDescent="0.2">
      <c r="A24" t="str">
        <f>IF(SD!B4&gt;0,SD!B4,"")</f>
        <v>Plan</v>
      </c>
      <c r="B24">
        <f>IF(SD!C15&gt;0,SD!C15,"")</f>
        <v>2</v>
      </c>
      <c r="C24">
        <f>IF(SD!D15&gt;0,SD!D15,"")</f>
        <v>2</v>
      </c>
      <c r="D24">
        <f>IF(SD!E15&gt;0,SD!E15,"")</f>
        <v>2</v>
      </c>
      <c r="E24">
        <f>IF(SD!F15&gt;0,SD!F15,"")</f>
        <v>2</v>
      </c>
      <c r="F24">
        <f>IF(SD!G15&gt;0,SD!G15,"")</f>
        <v>2</v>
      </c>
      <c r="G24">
        <f>IF(SD!H15&gt;0,SD!H15,"")</f>
        <v>2</v>
      </c>
      <c r="H24">
        <f>IF(SD!I15&gt;0,SD!I15,"")</f>
        <v>2</v>
      </c>
      <c r="I24">
        <f>IF(SD!J15&gt;0,SD!J15,"")</f>
        <v>2</v>
      </c>
      <c r="J24">
        <f>IF(SD!K15&gt;0,SD!K15,"")</f>
        <v>2</v>
      </c>
      <c r="K24">
        <f>IF(SD!L15&gt;0,SD!L15,"")</f>
        <v>2</v>
      </c>
      <c r="L24">
        <f>IF(SD!M15&gt;0,SD!M15,"")</f>
        <v>2</v>
      </c>
      <c r="M24">
        <f>IF(SD!N15&gt;0,SD!N15,"")</f>
        <v>2</v>
      </c>
      <c r="N24">
        <f>IF(SD!O15&gt;0,SD!O15,"")</f>
        <v>2</v>
      </c>
      <c r="O24">
        <f>IF(SD!P15&gt;0,SD!P15,"")</f>
        <v>2</v>
      </c>
      <c r="P24">
        <f>IF(SD!Q15&gt;0,SD!Q15,"")</f>
        <v>2</v>
      </c>
    </row>
    <row r="31" spans="1:16" x14ac:dyDescent="0.2">
      <c r="B31" t="str">
        <f>IF(SD!C1&gt;0,SD!C1,"")</f>
        <v>JAN</v>
      </c>
      <c r="C31" t="str">
        <f>IF(SD!D1&gt;0,SD!D1,"")</f>
        <v>FEB</v>
      </c>
      <c r="D31" t="str">
        <f>IF(SD!E1&gt;0,SD!E1,"")</f>
        <v>MAR</v>
      </c>
      <c r="E31" t="str">
        <f>IF(SD!F1&gt;0,SD!F1,"")</f>
        <v>APR</v>
      </c>
      <c r="F31" t="str">
        <f>IF(SD!G1&gt;0,SD!G1,"")</f>
        <v>MAY</v>
      </c>
      <c r="G31" t="str">
        <f>IF(SD!H1&gt;0,SD!H1,"")</f>
        <v>JUN</v>
      </c>
      <c r="H31" t="str">
        <f>IF(SD!I1&gt;0,SD!I1,"")</f>
        <v>JUL</v>
      </c>
      <c r="I31" t="str">
        <f>IF(SD!J1&gt;0,SD!J1,"")</f>
        <v>AUG</v>
      </c>
      <c r="J31" t="str">
        <f>IF(SD!K1&gt;0,SD!K1,"")</f>
        <v>SEP</v>
      </c>
      <c r="K31" t="str">
        <f>IF(SD!L1&gt;0,SD!L1,"")</f>
        <v>OCT</v>
      </c>
      <c r="L31" t="str">
        <f>IF(SD!M1&gt;0,SD!M1,"")</f>
        <v>NOV</v>
      </c>
      <c r="M31" t="str">
        <f>IF(SD!N1&gt;0,SD!N1,"")</f>
        <v>DEC</v>
      </c>
      <c r="N31" t="str">
        <f>IF(SD!O1&gt;0,SD!O1,"")</f>
        <v>JAN'27</v>
      </c>
      <c r="O31" t="str">
        <f>IF(SD!P1&gt;0,SD!P1,"")</f>
        <v>FEB'27</v>
      </c>
      <c r="P31" t="str">
        <f>IF(SD!Q1&gt;0,SD!Q1,"")</f>
        <v>MAR'27</v>
      </c>
    </row>
    <row r="32" spans="1:16" x14ac:dyDescent="0.2">
      <c r="A32" t="str">
        <f>IF(SD!B2&gt;0,SD!B2,"")</f>
        <v>Staff</v>
      </c>
      <c r="B32">
        <f>IF(SD!C17&gt;0,SD!C17,"")</f>
        <v>6</v>
      </c>
      <c r="C32">
        <f>IF(SD!D17&gt;0,SD!D17,"")</f>
        <v>8</v>
      </c>
      <c r="D32">
        <f>IF(SD!E17&gt;0,SD!E17,"")</f>
        <v>9</v>
      </c>
      <c r="E32">
        <f>IF(SD!F17&gt;0,SD!F17,"")</f>
        <v>9</v>
      </c>
      <c r="F32">
        <f>IF(SD!G17&gt;0,SD!G17,"")</f>
        <v>9</v>
      </c>
      <c r="G32">
        <f>IF(SD!H17&gt;0,SD!H17,"")</f>
        <v>9</v>
      </c>
      <c r="H32">
        <f>IF(SD!I17&gt;0,SD!I17,"")</f>
        <v>9</v>
      </c>
      <c r="I32">
        <f>IF(SD!J17&gt;0,SD!J17,"")</f>
        <v>9</v>
      </c>
      <c r="J32">
        <f>IF(SD!K17&gt;0,SD!K17,"")</f>
        <v>9</v>
      </c>
      <c r="K32">
        <f>IF(SD!L17&gt;0,SD!L17,"")</f>
        <v>9</v>
      </c>
      <c r="L32">
        <f>IF(SD!M17&gt;0,SD!M17,"")</f>
        <v>9</v>
      </c>
      <c r="M32">
        <f>IF(SD!N17&gt;0,SD!N17,"")</f>
        <v>9</v>
      </c>
      <c r="N32">
        <f>IF(SD!O17&gt;0,SD!O17,"")</f>
        <v>9</v>
      </c>
      <c r="O32">
        <f>IF(SD!P17&gt;0,SD!P17,"")</f>
        <v>9</v>
      </c>
      <c r="P32">
        <f>IF(SD!Q17&gt;0,SD!Q17,"")</f>
        <v>9</v>
      </c>
    </row>
    <row r="33" spans="1:16" x14ac:dyDescent="0.2">
      <c r="A33" t="str">
        <f>IF(SD!B3&gt;0,SD!B3,"")</f>
        <v>Staff AVG</v>
      </c>
      <c r="B33">
        <f>IF(SD!C18&gt;0,SD!C18,"")</f>
        <v>9</v>
      </c>
      <c r="C33">
        <f>IF(SD!D18&gt;0,SD!D18,"")</f>
        <v>9</v>
      </c>
      <c r="D33">
        <f>IF(SD!E18&gt;0,SD!E18,"")</f>
        <v>9</v>
      </c>
      <c r="E33">
        <f>IF(SD!F18&gt;0,SD!F18,"")</f>
        <v>9</v>
      </c>
      <c r="F33">
        <f>IF(SD!G18&gt;0,SD!G18,"")</f>
        <v>9</v>
      </c>
      <c r="G33">
        <f>IF(SD!H18&gt;0,SD!H18,"")</f>
        <v>9</v>
      </c>
      <c r="H33">
        <f>IF(SD!I18&gt;0,SD!I18,"")</f>
        <v>9</v>
      </c>
      <c r="I33">
        <f>IF(SD!J18&gt;0,SD!J18,"")</f>
        <v>9</v>
      </c>
      <c r="J33">
        <f>IF(SD!K18&gt;0,SD!K18,"")</f>
        <v>9</v>
      </c>
      <c r="K33">
        <f>IF(SD!L18&gt;0,SD!L18,"")</f>
        <v>9</v>
      </c>
      <c r="L33">
        <f>IF(SD!M18&gt;0,SD!M18,"")</f>
        <v>9</v>
      </c>
      <c r="M33">
        <f>IF(SD!N18&gt;0,SD!N18,"")</f>
        <v>9</v>
      </c>
      <c r="N33">
        <f>IF(SD!O18&gt;0,SD!O18,"")</f>
        <v>9</v>
      </c>
      <c r="O33">
        <f>IF(SD!P18&gt;0,SD!P18,"")</f>
        <v>9</v>
      </c>
      <c r="P33">
        <f>IF(SD!Q18&gt;0,SD!Q18,"")</f>
        <v>9</v>
      </c>
    </row>
    <row r="34" spans="1:16" x14ac:dyDescent="0.2">
      <c r="A34" t="str">
        <f>IF(SD!B4&gt;0,SD!B4,"")</f>
        <v>Plan</v>
      </c>
      <c r="B34">
        <f>IF(SD!C19&gt;0,SD!C19,"")</f>
        <v>6</v>
      </c>
      <c r="C34">
        <f>IF(SD!D19&gt;0,SD!D19,"")</f>
        <v>8</v>
      </c>
      <c r="D34">
        <f>IF(SD!E19&gt;0,SD!E19,"")</f>
        <v>10</v>
      </c>
      <c r="E34">
        <f>IF(SD!F19&gt;0,SD!F19,"")</f>
        <v>9</v>
      </c>
      <c r="F34">
        <f>IF(SD!G19&gt;0,SD!G19,"")</f>
        <v>10</v>
      </c>
      <c r="G34">
        <f>IF(SD!H19&gt;0,SD!H19,"")</f>
        <v>11</v>
      </c>
      <c r="H34">
        <f>IF(SD!I19&gt;0,SD!I19,"")</f>
        <v>12</v>
      </c>
      <c r="I34">
        <f>IF(SD!J19&gt;0,SD!J19,"")</f>
        <v>12</v>
      </c>
      <c r="J34">
        <f>IF(SD!K19&gt;0,SD!K19,"")</f>
        <v>13</v>
      </c>
      <c r="K34">
        <f>IF(SD!L19&gt;0,SD!L19,"")</f>
        <v>10</v>
      </c>
      <c r="L34">
        <f>IF(SD!M19&gt;0,SD!M19,"")</f>
        <v>10</v>
      </c>
      <c r="M34">
        <f>IF(SD!N19&gt;0,SD!N19,"")</f>
        <v>10</v>
      </c>
      <c r="N34">
        <f>IF(SD!O19&gt;0,SD!O19,"")</f>
        <v>7</v>
      </c>
      <c r="O34">
        <f>IF(SD!P19&gt;0,SD!P19,"")</f>
        <v>7</v>
      </c>
      <c r="P34">
        <f>IF(SD!Q19&gt;0,SD!Q19,"")</f>
        <v>7</v>
      </c>
    </row>
    <row r="41" spans="1:16" x14ac:dyDescent="0.2">
      <c r="B41" t="str">
        <f>IF(SD!C31&gt;0,SD!C31,"")</f>
        <v>Q1</v>
      </c>
      <c r="C41" t="str">
        <f>IF(SD!D31&gt;0,SD!D31,"")</f>
        <v>Q2</v>
      </c>
      <c r="D41" t="str">
        <f>IF(SD!E31&gt;0,SD!E31,"")</f>
        <v>Q3</v>
      </c>
      <c r="E41" t="str">
        <f>IF(SD!F31&gt;0,SD!F31,"")</f>
        <v>Q4</v>
      </c>
      <c r="F41" t="str">
        <f>IF(SD!G31&gt;0,SD!G31,"")</f>
        <v>Q1'27</v>
      </c>
    </row>
    <row r="42" spans="1:16" x14ac:dyDescent="0.2">
      <c r="A42" t="str">
        <f>IF(SD!B32&gt;0,SD!B32,"")</f>
        <v>Staff</v>
      </c>
      <c r="B42">
        <f>IF(SD!C32&gt;0,SD!C32,"")</f>
        <v>45</v>
      </c>
      <c r="C42">
        <f>IF(SD!D32&gt;0,SD!D32,"")</f>
        <v>46</v>
      </c>
      <c r="D42">
        <f>IF(SD!E32&gt;0,SD!E32,"")</f>
        <v>46</v>
      </c>
      <c r="E42">
        <f>IF(SD!F32&gt;0,SD!F32,"")</f>
        <v>46</v>
      </c>
      <c r="F42">
        <f>IF(SD!G32&gt;0,SD!G32,"")</f>
        <v>46</v>
      </c>
    </row>
    <row r="43" spans="1:16" x14ac:dyDescent="0.2">
      <c r="A43" t="str">
        <f>IF(SD!B33&gt;0,SD!B33,"")</f>
        <v>Staff AVG</v>
      </c>
      <c r="B43">
        <f>IF(SD!C33&gt;0,SD!C33,"")</f>
        <v>46</v>
      </c>
      <c r="C43">
        <f>IF(SD!D33&gt;0,SD!D33,"")</f>
        <v>46</v>
      </c>
      <c r="D43">
        <f>IF(SD!E33&gt;0,SD!E33,"")</f>
        <v>46</v>
      </c>
      <c r="E43">
        <f>IF(SD!F33&gt;0,SD!F33,"")</f>
        <v>46</v>
      </c>
      <c r="F43">
        <f>IF(SD!G33&gt;0,SD!G33,"")</f>
        <v>46</v>
      </c>
    </row>
    <row r="44" spans="1:16" x14ac:dyDescent="0.2">
      <c r="A44" t="str">
        <f>IF(SD!B34&gt;0,SD!B34,"")</f>
        <v>Plan</v>
      </c>
      <c r="B44">
        <f>IF(SD!C34&gt;0,SD!C34,"")</f>
        <v>45</v>
      </c>
      <c r="C44">
        <f>IF(SD!D34&gt;0,SD!D34,"")</f>
        <v>45</v>
      </c>
      <c r="D44">
        <f>IF(SD!E34&gt;0,SD!E34,"")</f>
        <v>46</v>
      </c>
      <c r="E44">
        <f>IF(SD!F34&gt;0,SD!F34,"")</f>
        <v>42</v>
      </c>
      <c r="F44">
        <f>IF(SD!G34&gt;0,SD!G34,"")</f>
        <v>39</v>
      </c>
    </row>
    <row r="45" spans="1:16" x14ac:dyDescent="0.2">
      <c r="A45" t="str">
        <f>IF(SD!B41&gt;0,SD!B41,"")</f>
        <v>PAYROLL</v>
      </c>
      <c r="B45">
        <f>IF(SD!C41&gt;0,SD!C41,"")</f>
        <v>35</v>
      </c>
      <c r="C45">
        <f>IF(SD!D41&gt;0,SD!D41,"")</f>
        <v>34</v>
      </c>
      <c r="D45">
        <f>IF(SD!E41&gt;0,SD!E41,"")</f>
        <v>32</v>
      </c>
      <c r="E45">
        <f>IF(SD!F41&gt;0,SD!F41,"")</f>
        <v>30</v>
      </c>
      <c r="F45">
        <f>IF(SD!G41&gt;0,SD!G41,"")</f>
        <v>27</v>
      </c>
    </row>
    <row r="46" spans="1:16" x14ac:dyDescent="0.2">
      <c r="A46" t="str">
        <f>IF(SD!B45&gt;0,SD!B45,"")</f>
        <v>CONTRACTOR</v>
      </c>
      <c r="B46">
        <f>IF(SD!C45&gt;0,SD!C45,"")</f>
        <v>2</v>
      </c>
      <c r="C46">
        <f>IF(SD!D45&gt;0,SD!D45,"")</f>
        <v>2</v>
      </c>
      <c r="D46">
        <f>IF(SD!E45&gt;0,SD!E45,"")</f>
        <v>2</v>
      </c>
      <c r="E46">
        <f>IF(SD!F45&gt;0,SD!F45,"")</f>
        <v>2</v>
      </c>
      <c r="F46">
        <f>IF(SD!G45&gt;0,SD!G45,"")</f>
        <v>2</v>
      </c>
    </row>
    <row r="47" spans="1:16" x14ac:dyDescent="0.2">
      <c r="A47" t="str">
        <f>IF(SD!B49&gt;0,SD!B49,"")</f>
        <v>OUTSOURCE</v>
      </c>
      <c r="B47">
        <f>IF(SD!C49&gt;0,SD!C49,"")</f>
        <v>8</v>
      </c>
      <c r="C47">
        <f>IF(SD!D49&gt;0,SD!D49,"")</f>
        <v>10</v>
      </c>
      <c r="D47">
        <f>IF(SD!E49&gt;0,SD!E49,"")</f>
        <v>12</v>
      </c>
      <c r="E47">
        <f>IF(SD!F49&gt;0,SD!F49,"")</f>
        <v>10</v>
      </c>
      <c r="F47">
        <f>IF(SD!G49&gt;0,SD!G49,"")</f>
        <v>9</v>
      </c>
    </row>
    <row r="51" spans="1:16" x14ac:dyDescent="0.2">
      <c r="A51" t="str">
        <f>SD!A66</f>
        <v>Design</v>
      </c>
      <c r="B51" t="str">
        <f>SD!C$61</f>
        <v>JAN</v>
      </c>
      <c r="C51" t="str">
        <f>SD!D$61</f>
        <v>FEB</v>
      </c>
      <c r="D51" t="str">
        <f>SD!E$61</f>
        <v>MAR</v>
      </c>
      <c r="E51" t="str">
        <f>SD!F$61</f>
        <v>APR</v>
      </c>
      <c r="F51" t="str">
        <f>SD!G$61</f>
        <v>MAY</v>
      </c>
      <c r="G51" t="str">
        <f>SD!H$61</f>
        <v>JUN</v>
      </c>
      <c r="H51" t="str">
        <f>SD!I$61</f>
        <v>JUL</v>
      </c>
      <c r="I51" t="str">
        <f>SD!J$61</f>
        <v>AUG</v>
      </c>
      <c r="J51" t="str">
        <f>SD!K$61</f>
        <v>SEP</v>
      </c>
      <c r="K51" t="str">
        <f>SD!L$61</f>
        <v>OCT</v>
      </c>
      <c r="L51" t="str">
        <f>SD!M$61</f>
        <v>NOV</v>
      </c>
      <c r="M51" t="str">
        <f>SD!N$61</f>
        <v>DEC</v>
      </c>
      <c r="N51" t="str">
        <f>SD!O$61</f>
        <v>JAN'27</v>
      </c>
      <c r="O51" t="str">
        <f>SD!P$61</f>
        <v>FEB'27</v>
      </c>
      <c r="P51" t="str">
        <f>SD!Q$61</f>
        <v>MAR'27</v>
      </c>
    </row>
    <row r="52" spans="1:16" x14ac:dyDescent="0.2">
      <c r="A52" t="str">
        <f>SD!B66</f>
        <v>Staff</v>
      </c>
      <c r="B52">
        <f>SD!C66</f>
        <v>4</v>
      </c>
      <c r="C52">
        <f>SD!D66</f>
        <v>4</v>
      </c>
      <c r="D52">
        <f>SD!E66</f>
        <v>4</v>
      </c>
      <c r="E52">
        <f>SD!F66</f>
        <v>4</v>
      </c>
      <c r="F52">
        <f>SD!G66</f>
        <v>4</v>
      </c>
      <c r="G52">
        <f>SD!H66</f>
        <v>4</v>
      </c>
      <c r="H52">
        <f>SD!I66</f>
        <v>4</v>
      </c>
      <c r="I52">
        <f>SD!J66</f>
        <v>4</v>
      </c>
      <c r="J52">
        <f>SD!K66</f>
        <v>4</v>
      </c>
      <c r="K52">
        <f>SD!L66</f>
        <v>4</v>
      </c>
      <c r="L52">
        <f>SD!M66</f>
        <v>4</v>
      </c>
      <c r="M52">
        <f>SD!N66</f>
        <v>4</v>
      </c>
      <c r="N52">
        <f>SD!O66</f>
        <v>4</v>
      </c>
      <c r="O52">
        <f>SD!P66</f>
        <v>4</v>
      </c>
      <c r="P52">
        <f>SD!Q66</f>
        <v>4</v>
      </c>
    </row>
    <row r="53" spans="1:16" x14ac:dyDescent="0.2">
      <c r="A53" t="str">
        <f>SD!B67</f>
        <v>Plan</v>
      </c>
      <c r="B53">
        <f>SD!C67</f>
        <v>3.0625</v>
      </c>
      <c r="C53">
        <f>SD!D67</f>
        <v>3.85</v>
      </c>
      <c r="D53">
        <f>SD!E67</f>
        <v>3.65</v>
      </c>
      <c r="E53">
        <f>SD!F67</f>
        <v>3.3</v>
      </c>
      <c r="F53">
        <f>SD!G67</f>
        <v>4.0250000000000004</v>
      </c>
      <c r="G53">
        <f>SD!H67</f>
        <v>4.0250000000000004</v>
      </c>
      <c r="H53">
        <f>SD!I67</f>
        <v>3.9812500000000002</v>
      </c>
      <c r="I53">
        <f>SD!J67</f>
        <v>3.2937500000000002</v>
      </c>
      <c r="J53">
        <f>SD!K67</f>
        <v>2.9312499999999999</v>
      </c>
      <c r="K53">
        <f>SD!L67</f>
        <v>2.7124999999999999</v>
      </c>
      <c r="L53">
        <f>SD!M67</f>
        <v>2.5874999999999999</v>
      </c>
      <c r="M53">
        <f>SD!N67</f>
        <v>2.3875000000000002</v>
      </c>
      <c r="N53">
        <f>SD!O67</f>
        <v>1.28125</v>
      </c>
      <c r="O53">
        <f>SD!P67</f>
        <v>1.03125</v>
      </c>
      <c r="P53">
        <f>SD!Q67</f>
        <v>1.03125</v>
      </c>
    </row>
    <row r="61" spans="1:16" x14ac:dyDescent="0.2">
      <c r="A61" t="str">
        <f>SD!A68</f>
        <v>Data Technology</v>
      </c>
      <c r="B61" t="str">
        <f>SD!C$61</f>
        <v>JAN</v>
      </c>
      <c r="C61" t="str">
        <f>SD!D$61</f>
        <v>FEB</v>
      </c>
      <c r="D61" t="str">
        <f>SD!E$61</f>
        <v>MAR</v>
      </c>
      <c r="E61" t="str">
        <f>SD!F$61</f>
        <v>APR</v>
      </c>
      <c r="F61" t="str">
        <f>SD!G$61</f>
        <v>MAY</v>
      </c>
      <c r="G61" t="str">
        <f>SD!H$61</f>
        <v>JUN</v>
      </c>
      <c r="H61" t="str">
        <f>SD!I$61</f>
        <v>JUL</v>
      </c>
      <c r="I61" t="str">
        <f>SD!J$61</f>
        <v>AUG</v>
      </c>
      <c r="J61" t="str">
        <f>SD!K$61</f>
        <v>SEP</v>
      </c>
      <c r="K61" t="str">
        <f>SD!L$61</f>
        <v>OCT</v>
      </c>
      <c r="L61" t="str">
        <f>SD!M$61</f>
        <v>NOV</v>
      </c>
      <c r="M61" t="str">
        <f>SD!N$61</f>
        <v>DEC</v>
      </c>
      <c r="N61" t="str">
        <f>SD!O$61</f>
        <v>JAN'27</v>
      </c>
      <c r="O61" t="str">
        <f>SD!P$61</f>
        <v>FEB'27</v>
      </c>
      <c r="P61" t="str">
        <f>SD!Q$61</f>
        <v>MAR'27</v>
      </c>
    </row>
    <row r="62" spans="1:16" x14ac:dyDescent="0.2">
      <c r="A62" t="str">
        <f>SD!B68</f>
        <v>Staff</v>
      </c>
      <c r="B62">
        <f>SD!C68</f>
        <v>7</v>
      </c>
      <c r="C62">
        <f>SD!D68</f>
        <v>7</v>
      </c>
      <c r="D62">
        <f>SD!E68</f>
        <v>7</v>
      </c>
      <c r="E62">
        <f>SD!F68</f>
        <v>7</v>
      </c>
      <c r="F62">
        <f>SD!G68</f>
        <v>7</v>
      </c>
      <c r="G62">
        <f>SD!H68</f>
        <v>7</v>
      </c>
      <c r="H62">
        <f>SD!I68</f>
        <v>7</v>
      </c>
      <c r="I62">
        <f>SD!J68</f>
        <v>7</v>
      </c>
      <c r="J62">
        <f>SD!K68</f>
        <v>7</v>
      </c>
      <c r="K62">
        <f>SD!L68</f>
        <v>7</v>
      </c>
      <c r="L62">
        <f>SD!M68</f>
        <v>7</v>
      </c>
      <c r="M62">
        <f>SD!N68</f>
        <v>7</v>
      </c>
      <c r="N62">
        <f>SD!O68</f>
        <v>7</v>
      </c>
      <c r="O62">
        <f>SD!P68</f>
        <v>7</v>
      </c>
      <c r="P62">
        <f>SD!Q68</f>
        <v>7</v>
      </c>
    </row>
    <row r="63" spans="1:16" x14ac:dyDescent="0.2">
      <c r="A63" t="str">
        <f>SD!B69</f>
        <v>Plan</v>
      </c>
      <c r="B63">
        <f>SD!C69</f>
        <v>7.0750000000000002</v>
      </c>
      <c r="C63">
        <f>SD!D69</f>
        <v>7.2249999999999996</v>
      </c>
      <c r="D63">
        <f>SD!E69</f>
        <v>6.8650000000000002</v>
      </c>
      <c r="E63">
        <f>SD!F69</f>
        <v>6.12</v>
      </c>
      <c r="F63">
        <f>SD!G69</f>
        <v>5.7074999999999996</v>
      </c>
      <c r="G63">
        <f>SD!H69</f>
        <v>6.4124999999999996</v>
      </c>
      <c r="H63">
        <f>SD!I69</f>
        <v>5.8624999999999998</v>
      </c>
      <c r="I63">
        <f>SD!J69</f>
        <v>5.6325000000000003</v>
      </c>
      <c r="J63">
        <f>SD!K69</f>
        <v>5.6325000000000003</v>
      </c>
      <c r="K63">
        <f>SD!L69</f>
        <v>5.2949999999999999</v>
      </c>
      <c r="L63">
        <f>SD!M69</f>
        <v>5.1449999999999996</v>
      </c>
      <c r="M63">
        <f>SD!N69</f>
        <v>5.1449999999999996</v>
      </c>
      <c r="N63">
        <f>SD!O69</f>
        <v>4.3150000000000004</v>
      </c>
      <c r="O63">
        <f>SD!P69</f>
        <v>4.3150000000000004</v>
      </c>
      <c r="P63">
        <f>SD!Q69</f>
        <v>4.3150000000000004</v>
      </c>
    </row>
    <row r="71" spans="1:16" x14ac:dyDescent="0.2">
      <c r="A71" t="str">
        <f>SD!A74</f>
        <v>Solution Architecture</v>
      </c>
      <c r="B71" t="str">
        <f>SD!C$61</f>
        <v>JAN</v>
      </c>
      <c r="C71" t="str">
        <f>SD!D$61</f>
        <v>FEB</v>
      </c>
      <c r="D71" t="str">
        <f>SD!E$61</f>
        <v>MAR</v>
      </c>
      <c r="E71" t="str">
        <f>SD!F$61</f>
        <v>APR</v>
      </c>
      <c r="F71" t="str">
        <f>SD!G$61</f>
        <v>MAY</v>
      </c>
      <c r="G71" t="str">
        <f>SD!H$61</f>
        <v>JUN</v>
      </c>
      <c r="H71" t="str">
        <f>SD!I$61</f>
        <v>JUL</v>
      </c>
      <c r="I71" t="str">
        <f>SD!J$61</f>
        <v>AUG</v>
      </c>
      <c r="J71" t="str">
        <f>SD!K$61</f>
        <v>SEP</v>
      </c>
      <c r="K71" t="str">
        <f>SD!L$61</f>
        <v>OCT</v>
      </c>
      <c r="L71" t="str">
        <f>SD!M$61</f>
        <v>NOV</v>
      </c>
      <c r="M71" t="str">
        <f>SD!N$61</f>
        <v>DEC</v>
      </c>
      <c r="N71" t="str">
        <f>SD!O$61</f>
        <v>JAN'27</v>
      </c>
      <c r="O71" t="str">
        <f>SD!P$61</f>
        <v>FEB'27</v>
      </c>
      <c r="P71" t="str">
        <f>SD!Q$61</f>
        <v>MAR'27</v>
      </c>
    </row>
    <row r="72" spans="1:16" x14ac:dyDescent="0.2">
      <c r="A72" t="str">
        <f>SD!B74</f>
        <v>Staff</v>
      </c>
      <c r="B72">
        <f>SD!C74</f>
        <v>4</v>
      </c>
      <c r="C72">
        <f>SD!D74</f>
        <v>4</v>
      </c>
      <c r="D72">
        <f>SD!E74</f>
        <v>4</v>
      </c>
      <c r="E72">
        <f>SD!F74</f>
        <v>4</v>
      </c>
      <c r="F72">
        <f>SD!G74</f>
        <v>4</v>
      </c>
      <c r="G72">
        <f>SD!H74</f>
        <v>4</v>
      </c>
      <c r="H72">
        <f>SD!I74</f>
        <v>4</v>
      </c>
      <c r="I72">
        <f>SD!J74</f>
        <v>4</v>
      </c>
      <c r="J72">
        <f>SD!K74</f>
        <v>4</v>
      </c>
      <c r="K72">
        <f>SD!L74</f>
        <v>4</v>
      </c>
      <c r="L72">
        <f>SD!M74</f>
        <v>4</v>
      </c>
      <c r="M72">
        <f>SD!N74</f>
        <v>4</v>
      </c>
      <c r="N72">
        <f>SD!O74</f>
        <v>4</v>
      </c>
      <c r="O72">
        <f>SD!P74</f>
        <v>4</v>
      </c>
      <c r="P72">
        <f>SD!Q74</f>
        <v>4</v>
      </c>
    </row>
    <row r="73" spans="1:16" x14ac:dyDescent="0.2">
      <c r="A73" t="str">
        <f>SD!B75</f>
        <v>Plan</v>
      </c>
      <c r="B73">
        <f>SD!C75</f>
        <v>3.3</v>
      </c>
      <c r="C73">
        <f>SD!D75</f>
        <v>4.375</v>
      </c>
      <c r="D73">
        <f>SD!E75</f>
        <v>4.3250000000000002</v>
      </c>
      <c r="E73">
        <f>SD!F75</f>
        <v>3.9</v>
      </c>
      <c r="F73">
        <f>SD!G75</f>
        <v>3.5150000000000001</v>
      </c>
      <c r="G73">
        <f>SD!H75</f>
        <v>3.4649999999999999</v>
      </c>
      <c r="H73">
        <f>SD!I75</f>
        <v>3.3650000000000002</v>
      </c>
      <c r="I73">
        <f>SD!J75</f>
        <v>3.44</v>
      </c>
      <c r="J73">
        <f>SD!K75</f>
        <v>3.12</v>
      </c>
      <c r="K73">
        <f>SD!L75</f>
        <v>3.12</v>
      </c>
      <c r="L73">
        <f>SD!M75</f>
        <v>3.12</v>
      </c>
      <c r="M73">
        <f>SD!N75</f>
        <v>3.0449999999999999</v>
      </c>
      <c r="N73">
        <f>SD!O75</f>
        <v>2.78</v>
      </c>
      <c r="O73">
        <f>SD!P75</f>
        <v>2.78</v>
      </c>
      <c r="P73">
        <f>SD!Q75</f>
        <v>2.78</v>
      </c>
    </row>
    <row r="81" spans="1:16" x14ac:dyDescent="0.2">
      <c r="A81" t="str">
        <f>SD!A76</f>
        <v>Site Reliability Engineering</v>
      </c>
      <c r="B81" t="str">
        <f>SD!C$61</f>
        <v>JAN</v>
      </c>
      <c r="C81" t="str">
        <f>SD!D$61</f>
        <v>FEB</v>
      </c>
      <c r="D81" t="str">
        <f>SD!E$61</f>
        <v>MAR</v>
      </c>
      <c r="E81" t="str">
        <f>SD!F$61</f>
        <v>APR</v>
      </c>
      <c r="F81" t="str">
        <f>SD!G$61</f>
        <v>MAY</v>
      </c>
      <c r="G81" t="str">
        <f>SD!H$61</f>
        <v>JUN</v>
      </c>
      <c r="H81" t="str">
        <f>SD!I$61</f>
        <v>JUL</v>
      </c>
      <c r="I81" t="str">
        <f>SD!J$61</f>
        <v>AUG</v>
      </c>
      <c r="J81" t="str">
        <f>SD!K$61</f>
        <v>SEP</v>
      </c>
      <c r="K81" t="str">
        <f>SD!L$61</f>
        <v>OCT</v>
      </c>
      <c r="L81" t="str">
        <f>SD!M$61</f>
        <v>NOV</v>
      </c>
      <c r="M81" t="str">
        <f>SD!N$61</f>
        <v>DEC</v>
      </c>
      <c r="N81" t="str">
        <f>SD!O$61</f>
        <v>JAN'27</v>
      </c>
      <c r="O81" t="str">
        <f>SD!P$61</f>
        <v>FEB'27</v>
      </c>
      <c r="P81" t="str">
        <f>SD!Q$61</f>
        <v>MAR'27</v>
      </c>
    </row>
    <row r="82" spans="1:16" x14ac:dyDescent="0.2">
      <c r="A82" t="str">
        <f>SD!B76</f>
        <v>Staff</v>
      </c>
      <c r="B82">
        <f>SD!C76</f>
        <v>2</v>
      </c>
      <c r="C82">
        <f>SD!D76</f>
        <v>2</v>
      </c>
      <c r="D82">
        <f>SD!E76</f>
        <v>2</v>
      </c>
      <c r="E82">
        <f>SD!F76</f>
        <v>2</v>
      </c>
      <c r="F82">
        <f>SD!G76</f>
        <v>2</v>
      </c>
      <c r="G82">
        <f>SD!H76</f>
        <v>2</v>
      </c>
      <c r="H82">
        <f>SD!I76</f>
        <v>2</v>
      </c>
      <c r="I82">
        <f>SD!J76</f>
        <v>2</v>
      </c>
      <c r="J82">
        <f>SD!K76</f>
        <v>2</v>
      </c>
      <c r="K82">
        <f>SD!L76</f>
        <v>2</v>
      </c>
      <c r="L82">
        <f>SD!M76</f>
        <v>2</v>
      </c>
      <c r="M82">
        <f>SD!N76</f>
        <v>2</v>
      </c>
      <c r="N82">
        <f>SD!O76</f>
        <v>2</v>
      </c>
      <c r="O82">
        <f>SD!P76</f>
        <v>2</v>
      </c>
      <c r="P82">
        <f>SD!Q76</f>
        <v>2</v>
      </c>
    </row>
    <row r="83" spans="1:16" x14ac:dyDescent="0.2">
      <c r="A83" t="str">
        <f>SD!B77</f>
        <v>Plan</v>
      </c>
      <c r="B83">
        <f>SD!C77</f>
        <v>3.3849999999999998</v>
      </c>
      <c r="C83">
        <f>SD!D77</f>
        <v>3.0750000000000002</v>
      </c>
      <c r="D83">
        <f>SD!E77</f>
        <v>4.22</v>
      </c>
      <c r="E83">
        <f>SD!F77</f>
        <v>2.6549999999999998</v>
      </c>
      <c r="F83">
        <f>SD!G77</f>
        <v>2.6850000000000001</v>
      </c>
      <c r="G83">
        <f>SD!H77</f>
        <v>2.4649999999999999</v>
      </c>
      <c r="H83">
        <f>SD!I77</f>
        <v>2.3149999999999999</v>
      </c>
      <c r="I83">
        <f>SD!J77</f>
        <v>2.2650000000000001</v>
      </c>
      <c r="J83">
        <f>SD!K77</f>
        <v>2.1150000000000002</v>
      </c>
      <c r="K83">
        <f>SD!L77</f>
        <v>2.2650000000000001</v>
      </c>
      <c r="L83">
        <f>SD!M77</f>
        <v>2.0649999999999999</v>
      </c>
      <c r="M83">
        <f>SD!N77</f>
        <v>2.0649999999999999</v>
      </c>
      <c r="N83">
        <f>SD!O77</f>
        <v>1.5049999999999999</v>
      </c>
      <c r="O83">
        <f>SD!P77</f>
        <v>1.4550000000000001</v>
      </c>
      <c r="P83">
        <f>SD!Q77</f>
        <v>1.4550000000000001</v>
      </c>
    </row>
    <row r="91" spans="1:16" x14ac:dyDescent="0.2">
      <c r="A91" t="str">
        <f>SD!A78</f>
        <v>Cyber Security</v>
      </c>
      <c r="B91" t="str">
        <f>SD!C$61</f>
        <v>JAN</v>
      </c>
      <c r="C91" t="str">
        <f>SD!D$61</f>
        <v>FEB</v>
      </c>
      <c r="D91" t="str">
        <f>SD!E$61</f>
        <v>MAR</v>
      </c>
      <c r="E91" t="str">
        <f>SD!F$61</f>
        <v>APR</v>
      </c>
      <c r="F91" t="str">
        <f>SD!G$61</f>
        <v>MAY</v>
      </c>
      <c r="G91" t="str">
        <f>SD!H$61</f>
        <v>JUN</v>
      </c>
      <c r="H91" t="str">
        <f>SD!I$61</f>
        <v>JUL</v>
      </c>
      <c r="I91" t="str">
        <f>SD!J$61</f>
        <v>AUG</v>
      </c>
      <c r="J91" t="str">
        <f>SD!K$61</f>
        <v>SEP</v>
      </c>
      <c r="K91" t="str">
        <f>SD!L$61</f>
        <v>OCT</v>
      </c>
      <c r="L91" t="str">
        <f>SD!M$61</f>
        <v>NOV</v>
      </c>
      <c r="M91" t="str">
        <f>SD!N$61</f>
        <v>DEC</v>
      </c>
      <c r="N91" t="str">
        <f>SD!O$61</f>
        <v>JAN'27</v>
      </c>
      <c r="O91" t="str">
        <f>SD!P$61</f>
        <v>FEB'27</v>
      </c>
      <c r="P91" t="str">
        <f>SD!Q$61</f>
        <v>MAR'27</v>
      </c>
    </row>
    <row r="92" spans="1:16" x14ac:dyDescent="0.2">
      <c r="A92" t="str">
        <f>SD!B78</f>
        <v>Staff</v>
      </c>
      <c r="B92">
        <f>SD!C78</f>
        <v>3</v>
      </c>
      <c r="C92">
        <f>SD!D78</f>
        <v>3</v>
      </c>
      <c r="D92">
        <f>SD!E78</f>
        <v>3</v>
      </c>
      <c r="E92">
        <f>SD!F78</f>
        <v>3</v>
      </c>
      <c r="F92">
        <f>SD!G78</f>
        <v>3</v>
      </c>
      <c r="G92">
        <f>SD!H78</f>
        <v>3</v>
      </c>
      <c r="H92">
        <f>SD!I78</f>
        <v>3</v>
      </c>
      <c r="I92">
        <f>SD!J78</f>
        <v>3</v>
      </c>
      <c r="J92">
        <f>SD!K78</f>
        <v>3</v>
      </c>
      <c r="K92">
        <f>SD!L78</f>
        <v>3</v>
      </c>
      <c r="L92">
        <f>SD!M78</f>
        <v>3</v>
      </c>
      <c r="M92">
        <f>SD!N78</f>
        <v>3</v>
      </c>
      <c r="N92">
        <f>SD!O78</f>
        <v>3</v>
      </c>
      <c r="O92">
        <f>SD!P78</f>
        <v>3</v>
      </c>
      <c r="P92">
        <f>SD!Q78</f>
        <v>3</v>
      </c>
    </row>
    <row r="93" spans="1:16" x14ac:dyDescent="0.2">
      <c r="A93" t="str">
        <f>SD!B79</f>
        <v>Plan</v>
      </c>
      <c r="B93">
        <f>SD!C79</f>
        <v>3.2749999999999999</v>
      </c>
      <c r="C93">
        <f>SD!D79</f>
        <v>3.2749999999999999</v>
      </c>
      <c r="D93">
        <f>SD!E79</f>
        <v>3.2250000000000001</v>
      </c>
      <c r="E93">
        <f>SD!F79</f>
        <v>2.875</v>
      </c>
      <c r="F93">
        <f>SD!G79</f>
        <v>3.1124999999999998</v>
      </c>
      <c r="G93">
        <f>SD!H79</f>
        <v>2.8624999999999998</v>
      </c>
      <c r="H93">
        <f>SD!I79</f>
        <v>2.6</v>
      </c>
      <c r="I93">
        <f>SD!J79</f>
        <v>2.6</v>
      </c>
      <c r="J93">
        <f>SD!K79</f>
        <v>2.6</v>
      </c>
      <c r="K93">
        <f>SD!L79</f>
        <v>2.6</v>
      </c>
      <c r="L93">
        <f>SD!M79</f>
        <v>2.6</v>
      </c>
      <c r="M93">
        <f>SD!N79</f>
        <v>2.6</v>
      </c>
      <c r="N93">
        <f>SD!O79</f>
        <v>2.5</v>
      </c>
      <c r="O93">
        <f>SD!P79</f>
        <v>2.5</v>
      </c>
      <c r="P93">
        <f>SD!Q79</f>
        <v>2.5</v>
      </c>
    </row>
    <row r="101" spans="1:16" x14ac:dyDescent="0.2">
      <c r="A101" t="str">
        <f>SD!A80</f>
        <v>Project Management</v>
      </c>
      <c r="B101" t="str">
        <f>SD!C$61</f>
        <v>JAN</v>
      </c>
      <c r="C101" t="str">
        <f>SD!D$61</f>
        <v>FEB</v>
      </c>
      <c r="D101" t="str">
        <f>SD!E$61</f>
        <v>MAR</v>
      </c>
      <c r="E101" t="str">
        <f>SD!F$61</f>
        <v>APR</v>
      </c>
      <c r="F101" t="str">
        <f>SD!G$61</f>
        <v>MAY</v>
      </c>
      <c r="G101" t="str">
        <f>SD!H$61</f>
        <v>JUN</v>
      </c>
      <c r="H101" t="str">
        <f>SD!I$61</f>
        <v>JUL</v>
      </c>
      <c r="I101" t="str">
        <f>SD!J$61</f>
        <v>AUG</v>
      </c>
      <c r="J101" t="str">
        <f>SD!K$61</f>
        <v>SEP</v>
      </c>
      <c r="K101" t="str">
        <f>SD!L$61</f>
        <v>OCT</v>
      </c>
      <c r="L101" t="str">
        <f>SD!M$61</f>
        <v>NOV</v>
      </c>
      <c r="M101" t="str">
        <f>SD!N$61</f>
        <v>DEC</v>
      </c>
      <c r="N101" t="str">
        <f>SD!O$61</f>
        <v>JAN'27</v>
      </c>
      <c r="O101" t="str">
        <f>SD!P$61</f>
        <v>FEB'27</v>
      </c>
      <c r="P101" t="str">
        <f>SD!Q$61</f>
        <v>MAR'27</v>
      </c>
    </row>
    <row r="102" spans="1:16" x14ac:dyDescent="0.2">
      <c r="A102" t="str">
        <f>SD!B80</f>
        <v>Staff</v>
      </c>
      <c r="B102">
        <f>SD!C80</f>
        <v>4</v>
      </c>
      <c r="C102">
        <f>SD!D80</f>
        <v>4</v>
      </c>
      <c r="D102">
        <f>SD!E80</f>
        <v>4</v>
      </c>
      <c r="E102">
        <f>SD!F80</f>
        <v>4</v>
      </c>
      <c r="F102">
        <f>SD!G80</f>
        <v>4</v>
      </c>
      <c r="G102">
        <f>SD!H80</f>
        <v>4</v>
      </c>
      <c r="H102">
        <f>SD!I80</f>
        <v>4</v>
      </c>
      <c r="I102">
        <f>SD!J80</f>
        <v>4</v>
      </c>
      <c r="J102">
        <f>SD!K80</f>
        <v>4</v>
      </c>
      <c r="K102">
        <f>SD!L80</f>
        <v>4</v>
      </c>
      <c r="L102">
        <f>SD!M80</f>
        <v>4</v>
      </c>
      <c r="M102">
        <f>SD!N80</f>
        <v>4</v>
      </c>
      <c r="N102">
        <f>SD!O80</f>
        <v>4</v>
      </c>
      <c r="O102">
        <f>SD!P80</f>
        <v>4</v>
      </c>
      <c r="P102">
        <f>SD!Q80</f>
        <v>4</v>
      </c>
    </row>
    <row r="103" spans="1:16" x14ac:dyDescent="0.2">
      <c r="A103" t="str">
        <f>SD!B81</f>
        <v>Plan</v>
      </c>
      <c r="B103">
        <f>SD!C81</f>
        <v>3.65</v>
      </c>
      <c r="C103">
        <f>SD!D81</f>
        <v>3.75</v>
      </c>
      <c r="D103">
        <f>SD!E81</f>
        <v>4</v>
      </c>
      <c r="E103">
        <f>SD!F81</f>
        <v>3.85</v>
      </c>
      <c r="F103">
        <f>SD!G81</f>
        <v>4.16</v>
      </c>
      <c r="G103">
        <f>SD!H81</f>
        <v>4.0599999999999996</v>
      </c>
      <c r="H103">
        <f>SD!I81</f>
        <v>4.2750000000000004</v>
      </c>
      <c r="I103">
        <f>SD!J81</f>
        <v>4.1520000000000001</v>
      </c>
      <c r="J103">
        <f>SD!K81</f>
        <v>3.927</v>
      </c>
      <c r="K103">
        <f>SD!L81</f>
        <v>3.7269999999999999</v>
      </c>
      <c r="L103">
        <f>SD!M81</f>
        <v>3.4849999999999999</v>
      </c>
      <c r="M103">
        <f>SD!N81</f>
        <v>2.71</v>
      </c>
      <c r="N103">
        <f>SD!O81</f>
        <v>1</v>
      </c>
      <c r="O103">
        <f>SD!P81</f>
        <v>1</v>
      </c>
      <c r="P103">
        <f>SD!Q81</f>
        <v>1</v>
      </c>
    </row>
    <row r="111" spans="1:16" x14ac:dyDescent="0.2">
      <c r="A111" t="str">
        <f>SD!A82</f>
        <v>Technology Analyst</v>
      </c>
      <c r="B111" t="str">
        <f>SD!C$61</f>
        <v>JAN</v>
      </c>
      <c r="C111" t="str">
        <f>SD!D$61</f>
        <v>FEB</v>
      </c>
      <c r="D111" t="str">
        <f>SD!E$61</f>
        <v>MAR</v>
      </c>
      <c r="E111" t="str">
        <f>SD!F$61</f>
        <v>APR</v>
      </c>
      <c r="F111" t="str">
        <f>SD!G$61</f>
        <v>MAY</v>
      </c>
      <c r="G111" t="str">
        <f>SD!H$61</f>
        <v>JUN</v>
      </c>
      <c r="H111" t="str">
        <f>SD!I$61</f>
        <v>JUL</v>
      </c>
      <c r="I111" t="str">
        <f>SD!J$61</f>
        <v>AUG</v>
      </c>
      <c r="J111" t="str">
        <f>SD!K$61</f>
        <v>SEP</v>
      </c>
      <c r="K111" t="str">
        <f>SD!L$61</f>
        <v>OCT</v>
      </c>
      <c r="L111" t="str">
        <f>SD!M$61</f>
        <v>NOV</v>
      </c>
      <c r="M111" t="str">
        <f>SD!N$61</f>
        <v>DEC</v>
      </c>
      <c r="N111" t="str">
        <f>SD!O$61</f>
        <v>JAN'27</v>
      </c>
      <c r="O111" t="str">
        <f>SD!P$61</f>
        <v>FEB'27</v>
      </c>
      <c r="P111" t="str">
        <f>SD!Q$61</f>
        <v>MAR'27</v>
      </c>
    </row>
    <row r="112" spans="1:16" x14ac:dyDescent="0.2">
      <c r="A112" t="str">
        <f>SD!B82</f>
        <v>Staff</v>
      </c>
      <c r="B112">
        <f>SD!C82</f>
        <v>5</v>
      </c>
      <c r="C112">
        <f>SD!D82</f>
        <v>5</v>
      </c>
      <c r="D112">
        <f>SD!E82</f>
        <v>5</v>
      </c>
      <c r="E112">
        <f>SD!F82</f>
        <v>5</v>
      </c>
      <c r="F112">
        <f>SD!G82</f>
        <v>5</v>
      </c>
      <c r="G112">
        <f>SD!H82</f>
        <v>5</v>
      </c>
      <c r="H112">
        <f>SD!I82</f>
        <v>5</v>
      </c>
      <c r="I112">
        <f>SD!J82</f>
        <v>5</v>
      </c>
      <c r="J112">
        <f>SD!K82</f>
        <v>5</v>
      </c>
      <c r="K112">
        <f>SD!L82</f>
        <v>5</v>
      </c>
      <c r="L112">
        <f>SD!M82</f>
        <v>5</v>
      </c>
      <c r="M112">
        <f>SD!N82</f>
        <v>5</v>
      </c>
      <c r="N112">
        <f>SD!O82</f>
        <v>5</v>
      </c>
      <c r="O112">
        <f>SD!P82</f>
        <v>5</v>
      </c>
      <c r="P112">
        <f>SD!Q82</f>
        <v>5</v>
      </c>
    </row>
    <row r="113" spans="1:16" x14ac:dyDescent="0.2">
      <c r="A113" t="str">
        <f>SD!B83</f>
        <v>Plan</v>
      </c>
      <c r="B113">
        <f>SD!C83</f>
        <v>4.7</v>
      </c>
      <c r="C113">
        <f>SD!D83</f>
        <v>5.05</v>
      </c>
      <c r="D113">
        <f>SD!E83</f>
        <v>5.05</v>
      </c>
      <c r="E113">
        <f>SD!F83</f>
        <v>5.28</v>
      </c>
      <c r="F113">
        <f>SD!G83</f>
        <v>5.99</v>
      </c>
      <c r="G113">
        <f>SD!H83</f>
        <v>5.49</v>
      </c>
      <c r="H113">
        <f>SD!I83</f>
        <v>5.15</v>
      </c>
      <c r="I113">
        <f>SD!J83</f>
        <v>4.7</v>
      </c>
      <c r="J113">
        <f>SD!K83</f>
        <v>4.5</v>
      </c>
      <c r="K113">
        <f>SD!L83</f>
        <v>4.5</v>
      </c>
      <c r="L113">
        <f>SD!M83</f>
        <v>4.5</v>
      </c>
      <c r="M113">
        <f>SD!N83</f>
        <v>4.5</v>
      </c>
      <c r="N113">
        <f>SD!O83</f>
        <v>3.22</v>
      </c>
      <c r="O113">
        <f>SD!P83</f>
        <v>3.22</v>
      </c>
      <c r="P113">
        <f>SD!Q83</f>
        <v>3.22</v>
      </c>
    </row>
    <row r="121" spans="1:16" x14ac:dyDescent="0.2">
      <c r="A121" t="str">
        <f>SD!A84</f>
        <v>Technology QA</v>
      </c>
      <c r="B121" t="str">
        <f>SD!C$61</f>
        <v>JAN</v>
      </c>
      <c r="C121" t="str">
        <f>SD!D$61</f>
        <v>FEB</v>
      </c>
      <c r="D121" t="str">
        <f>SD!E$61</f>
        <v>MAR</v>
      </c>
      <c r="E121" t="str">
        <f>SD!F$61</f>
        <v>APR</v>
      </c>
      <c r="F121" t="str">
        <f>SD!G$61</f>
        <v>MAY</v>
      </c>
      <c r="G121" t="str">
        <f>SD!H$61</f>
        <v>JUN</v>
      </c>
      <c r="H121" t="str">
        <f>SD!I$61</f>
        <v>JUL</v>
      </c>
      <c r="I121" t="str">
        <f>SD!J$61</f>
        <v>AUG</v>
      </c>
      <c r="J121" t="str">
        <f>SD!K$61</f>
        <v>SEP</v>
      </c>
      <c r="K121" t="str">
        <f>SD!L$61</f>
        <v>OCT</v>
      </c>
      <c r="L121" t="str">
        <f>SD!M$61</f>
        <v>NOV</v>
      </c>
      <c r="M121" t="str">
        <f>SD!N$61</f>
        <v>DEC</v>
      </c>
      <c r="N121" t="str">
        <f>SD!O$61</f>
        <v>JAN'27</v>
      </c>
      <c r="O121" t="str">
        <f>SD!P$61</f>
        <v>FEB'27</v>
      </c>
      <c r="P121" t="str">
        <f>SD!Q$61</f>
        <v>MAR'27</v>
      </c>
    </row>
    <row r="122" spans="1:16" x14ac:dyDescent="0.2">
      <c r="A122" t="str">
        <f>SD!B84</f>
        <v>Staff</v>
      </c>
      <c r="B122">
        <f>SD!C84</f>
        <v>9</v>
      </c>
      <c r="C122">
        <f>SD!D84</f>
        <v>11</v>
      </c>
      <c r="D122">
        <f>SD!E84</f>
        <v>12</v>
      </c>
      <c r="E122">
        <f>SD!F84</f>
        <v>12</v>
      </c>
      <c r="F122">
        <f>SD!G84</f>
        <v>12</v>
      </c>
      <c r="G122">
        <f>SD!H84</f>
        <v>12</v>
      </c>
      <c r="H122">
        <f>SD!I84</f>
        <v>12</v>
      </c>
      <c r="I122">
        <f>SD!J84</f>
        <v>12</v>
      </c>
      <c r="J122">
        <f>SD!K84</f>
        <v>12</v>
      </c>
      <c r="K122">
        <f>SD!L84</f>
        <v>12</v>
      </c>
      <c r="L122">
        <f>SD!M84</f>
        <v>12</v>
      </c>
      <c r="M122">
        <f>SD!N84</f>
        <v>12</v>
      </c>
      <c r="N122">
        <f>SD!O84</f>
        <v>12</v>
      </c>
      <c r="O122">
        <f>SD!P84</f>
        <v>12</v>
      </c>
      <c r="P122">
        <f>SD!Q84</f>
        <v>12</v>
      </c>
    </row>
    <row r="123" spans="1:16" x14ac:dyDescent="0.2">
      <c r="A123" t="str">
        <f>SD!B85</f>
        <v>Plan</v>
      </c>
      <c r="B123">
        <f>SD!C85</f>
        <v>7.93</v>
      </c>
      <c r="C123">
        <f>SD!D85</f>
        <v>11.3</v>
      </c>
      <c r="D123">
        <f>SD!E85</f>
        <v>12.51</v>
      </c>
      <c r="E123">
        <f>SD!F85</f>
        <v>11.685</v>
      </c>
      <c r="F123">
        <f>SD!G85</f>
        <v>12.94</v>
      </c>
      <c r="G123">
        <f>SD!H85</f>
        <v>13.46</v>
      </c>
      <c r="H123">
        <f>SD!I85</f>
        <v>15.4</v>
      </c>
      <c r="I123">
        <f>SD!J85</f>
        <v>15.25</v>
      </c>
      <c r="J123">
        <f>SD!K85</f>
        <v>15.75</v>
      </c>
      <c r="K123">
        <f>SD!L85</f>
        <v>13.45</v>
      </c>
      <c r="L123">
        <f>SD!M85</f>
        <v>13.2</v>
      </c>
      <c r="M123">
        <f>SD!N85</f>
        <v>12.85</v>
      </c>
      <c r="N123">
        <f>SD!O85</f>
        <v>9.6</v>
      </c>
      <c r="O123">
        <f>SD!P85</f>
        <v>9.6</v>
      </c>
      <c r="P123">
        <f>SD!Q85</f>
        <v>9.6</v>
      </c>
    </row>
    <row r="131" spans="1:16" x14ac:dyDescent="0.2">
      <c r="A131" t="str">
        <f>SD!A92</f>
        <v>Technology Management</v>
      </c>
      <c r="B131" t="str">
        <f>SD!C$61</f>
        <v>JAN</v>
      </c>
      <c r="C131" t="str">
        <f>SD!D$61</f>
        <v>FEB</v>
      </c>
      <c r="D131" t="str">
        <f>SD!E$61</f>
        <v>MAR</v>
      </c>
      <c r="E131" t="str">
        <f>SD!F$61</f>
        <v>APR</v>
      </c>
      <c r="F131" t="str">
        <f>SD!G$61</f>
        <v>MAY</v>
      </c>
      <c r="G131" t="str">
        <f>SD!H$61</f>
        <v>JUN</v>
      </c>
      <c r="H131" t="str">
        <f>SD!I$61</f>
        <v>JUL</v>
      </c>
      <c r="I131" t="str">
        <f>SD!J$61</f>
        <v>AUG</v>
      </c>
      <c r="J131" t="str">
        <f>SD!K$61</f>
        <v>SEP</v>
      </c>
      <c r="K131" t="str">
        <f>SD!L$61</f>
        <v>OCT</v>
      </c>
      <c r="L131" t="str">
        <f>SD!M$61</f>
        <v>NOV</v>
      </c>
      <c r="M131" t="str">
        <f>SD!N$61</f>
        <v>DEC</v>
      </c>
      <c r="N131" t="str">
        <f>SD!O$61</f>
        <v>JAN'27</v>
      </c>
      <c r="O131" t="str">
        <f>SD!P$61</f>
        <v>FEB'27</v>
      </c>
      <c r="P131" t="str">
        <f>SD!Q$61</f>
        <v>MAR'27</v>
      </c>
    </row>
    <row r="132" spans="1:16" x14ac:dyDescent="0.2">
      <c r="A132" t="str">
        <f>SD!B92</f>
        <v>Staff</v>
      </c>
      <c r="B132">
        <f>SD!C92</f>
        <v>4</v>
      </c>
      <c r="C132">
        <f>SD!D92</f>
        <v>4</v>
      </c>
      <c r="D132">
        <f>SD!E92</f>
        <v>4</v>
      </c>
      <c r="E132">
        <f>SD!F92</f>
        <v>4</v>
      </c>
      <c r="F132">
        <f>SD!G92</f>
        <v>4</v>
      </c>
      <c r="G132">
        <f>SD!H92</f>
        <v>4</v>
      </c>
      <c r="H132">
        <f>SD!I92</f>
        <v>4</v>
      </c>
      <c r="I132">
        <f>SD!J92</f>
        <v>4</v>
      </c>
      <c r="J132">
        <f>SD!K92</f>
        <v>4</v>
      </c>
      <c r="K132">
        <f>SD!L92</f>
        <v>4</v>
      </c>
      <c r="L132">
        <f>SD!M92</f>
        <v>4</v>
      </c>
      <c r="M132">
        <f>SD!N92</f>
        <v>4</v>
      </c>
      <c r="N132">
        <f>SD!O92</f>
        <v>4</v>
      </c>
      <c r="O132">
        <f>SD!P92</f>
        <v>4</v>
      </c>
      <c r="P132">
        <f>SD!Q92</f>
        <v>4</v>
      </c>
    </row>
    <row r="133" spans="1:16" x14ac:dyDescent="0.2">
      <c r="A133" t="str">
        <f>SD!B93</f>
        <v>Plan</v>
      </c>
      <c r="B133">
        <f>SD!C93</f>
        <v>3.08</v>
      </c>
      <c r="C133">
        <f>SD!D93</f>
        <v>2.94</v>
      </c>
      <c r="D133">
        <f>SD!E93</f>
        <v>2.99</v>
      </c>
      <c r="E133">
        <f>SD!F93</f>
        <v>3.07</v>
      </c>
      <c r="F133">
        <f>SD!G93</f>
        <v>3.07</v>
      </c>
      <c r="G133">
        <f>SD!H93</f>
        <v>3.23</v>
      </c>
      <c r="H133">
        <f>SD!I93</f>
        <v>3.83</v>
      </c>
      <c r="I133">
        <f>SD!J93</f>
        <v>3.83</v>
      </c>
      <c r="J133">
        <f>SD!K93</f>
        <v>3.83</v>
      </c>
      <c r="K133">
        <f>SD!L93</f>
        <v>3.83</v>
      </c>
      <c r="L133">
        <f>SD!M93</f>
        <v>4.2</v>
      </c>
      <c r="M133">
        <f>SD!N93</f>
        <v>5.2</v>
      </c>
      <c r="N133">
        <f>SD!O93</f>
        <v>5.2</v>
      </c>
      <c r="O133">
        <f>SD!P93</f>
        <v>5.2</v>
      </c>
      <c r="P133">
        <f>SD!Q93</f>
        <v>5.2</v>
      </c>
    </row>
    <row r="151" spans="1:16" x14ac:dyDescent="0.2">
      <c r="B151" t="str">
        <f>SD!C1</f>
        <v>JAN</v>
      </c>
      <c r="C151" t="str">
        <f>SD!D1</f>
        <v>FEB</v>
      </c>
      <c r="D151" t="str">
        <f>SD!E1</f>
        <v>MAR</v>
      </c>
      <c r="E151" t="str">
        <f>SD!F1</f>
        <v>APR</v>
      </c>
      <c r="F151" t="str">
        <f>SD!G1</f>
        <v>MAY</v>
      </c>
      <c r="G151" t="str">
        <f>SD!H1</f>
        <v>JUN</v>
      </c>
      <c r="H151" t="str">
        <f>SD!I1</f>
        <v>JUL</v>
      </c>
      <c r="I151" t="str">
        <f>SD!J1</f>
        <v>AUG</v>
      </c>
      <c r="J151" t="str">
        <f>SD!K1</f>
        <v>SEP</v>
      </c>
      <c r="K151" t="str">
        <f>SD!L1</f>
        <v>OCT</v>
      </c>
      <c r="L151" t="str">
        <f>SD!M1</f>
        <v>NOV</v>
      </c>
      <c r="M151" t="str">
        <f>SD!N1</f>
        <v>DEC</v>
      </c>
      <c r="N151" t="str">
        <f>SD!O1</f>
        <v>JAN'27</v>
      </c>
      <c r="O151" t="str">
        <f>SD!P1</f>
        <v>FEB'27</v>
      </c>
      <c r="P151" t="str">
        <f>SD!Q1</f>
        <v>MAR'27</v>
      </c>
    </row>
    <row r="152" spans="1:16" x14ac:dyDescent="0.2">
      <c r="A152" t="str">
        <f>SD!B6</f>
        <v>% Plan</v>
      </c>
      <c r="B152" s="62">
        <f>SD!C6</f>
        <v>0.94089999999999996</v>
      </c>
      <c r="C152" s="62">
        <f>SD!D6</f>
        <v>1.0186999999999999</v>
      </c>
      <c r="D152" s="62">
        <f>SD!E6</f>
        <v>1.0399</v>
      </c>
      <c r="E152" s="62">
        <f>SD!F6</f>
        <v>0.95079999999999998</v>
      </c>
      <c r="F152" s="62">
        <f>SD!G6</f>
        <v>1.0044999999999999</v>
      </c>
      <c r="G152" s="62">
        <f>SD!H6</f>
        <v>1.0102</v>
      </c>
      <c r="H152" s="62">
        <f>SD!I6</f>
        <v>1.0387</v>
      </c>
      <c r="I152" s="62">
        <f>SD!J6</f>
        <v>1.0035000000000001</v>
      </c>
      <c r="J152" s="62">
        <f>SD!K6</f>
        <v>0.98709999999999998</v>
      </c>
      <c r="K152" s="62">
        <f>SD!L6</f>
        <v>0.92390000000000005</v>
      </c>
      <c r="L152" s="62">
        <f>SD!M6</f>
        <v>0.91090000000000004</v>
      </c>
      <c r="M152" s="62">
        <f>SD!N6</f>
        <v>0.9022</v>
      </c>
      <c r="N152" s="62">
        <f>SD!O6</f>
        <v>0.70440000000000003</v>
      </c>
      <c r="O152" s="62">
        <f>SD!P6</f>
        <v>0.69789999999999996</v>
      </c>
      <c r="P152" s="62">
        <f>SD!Q6</f>
        <v>0.69789999999999996</v>
      </c>
    </row>
    <row r="153" spans="1:16" x14ac:dyDescent="0.2">
      <c r="A153" t="str">
        <f>SD!B7</f>
        <v>Available FTE</v>
      </c>
      <c r="B153">
        <f>SD!C7</f>
        <v>3</v>
      </c>
      <c r="C153">
        <f>SD!D7</f>
        <v>-1</v>
      </c>
      <c r="D153">
        <f>SD!E7</f>
        <v>-2</v>
      </c>
      <c r="E153">
        <f>SD!F7</f>
        <v>2</v>
      </c>
      <c r="F153">
        <f>SD!G7</f>
        <v>0</v>
      </c>
      <c r="G153">
        <f>SD!H7</f>
        <v>0</v>
      </c>
      <c r="H153">
        <f>SD!I7</f>
        <v>-2</v>
      </c>
      <c r="I153">
        <f>SD!J7</f>
        <v>0</v>
      </c>
      <c r="J153">
        <f>SD!K7</f>
        <v>1</v>
      </c>
      <c r="K153">
        <f>SD!L7</f>
        <v>4</v>
      </c>
      <c r="L153">
        <f>SD!M7</f>
        <v>4</v>
      </c>
      <c r="M153">
        <f>SD!N7</f>
        <v>4</v>
      </c>
      <c r="N153">
        <f>SD!O7</f>
        <v>14</v>
      </c>
      <c r="O153">
        <f>SD!P7</f>
        <v>14</v>
      </c>
      <c r="P153">
        <f>SD!Q7</f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6D1C-51D2-2344-A21E-D05900EFAAB3}">
  <sheetPr>
    <tabColor theme="9"/>
  </sheetPr>
  <dimension ref="A1:Q73"/>
  <sheetViews>
    <sheetView workbookViewId="0">
      <selection activeCell="C3" sqref="C3:Q3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34</v>
      </c>
      <c r="B2" s="7" t="s">
        <v>16</v>
      </c>
      <c r="C2" s="8">
        <v>24</v>
      </c>
      <c r="D2" s="8">
        <v>23</v>
      </c>
      <c r="E2" s="8">
        <v>22</v>
      </c>
      <c r="F2" s="8">
        <v>21</v>
      </c>
      <c r="G2" s="8">
        <v>20</v>
      </c>
      <c r="H2" s="8">
        <v>20</v>
      </c>
      <c r="I2" s="8">
        <v>19</v>
      </c>
      <c r="J2" s="8">
        <v>19</v>
      </c>
      <c r="K2" s="8">
        <v>19</v>
      </c>
      <c r="L2" s="8">
        <v>19</v>
      </c>
      <c r="M2" s="8">
        <v>19</v>
      </c>
      <c r="N2" s="8">
        <v>19</v>
      </c>
      <c r="O2" s="8">
        <v>19</v>
      </c>
      <c r="P2" s="8">
        <v>19</v>
      </c>
      <c r="Q2" s="8">
        <v>19</v>
      </c>
    </row>
    <row r="3" spans="1:17" x14ac:dyDescent="0.2">
      <c r="A3" s="12" t="s">
        <v>34</v>
      </c>
      <c r="B3" s="9" t="s">
        <v>17</v>
      </c>
      <c r="C3" s="8">
        <v>20</v>
      </c>
      <c r="D3" s="8">
        <v>20</v>
      </c>
      <c r="E3" s="8">
        <v>20</v>
      </c>
      <c r="F3" s="8">
        <v>20</v>
      </c>
      <c r="G3" s="8">
        <v>20</v>
      </c>
      <c r="H3" s="8">
        <v>20</v>
      </c>
      <c r="I3" s="8">
        <v>20</v>
      </c>
      <c r="J3" s="8">
        <v>20</v>
      </c>
      <c r="K3" s="8">
        <v>20</v>
      </c>
      <c r="L3" s="8">
        <v>20</v>
      </c>
      <c r="M3" s="8">
        <v>20</v>
      </c>
      <c r="N3" s="8">
        <v>20</v>
      </c>
      <c r="O3" s="8">
        <v>20</v>
      </c>
      <c r="P3" s="8">
        <v>20</v>
      </c>
      <c r="Q3" s="8">
        <v>20</v>
      </c>
    </row>
    <row r="4" spans="1:17" x14ac:dyDescent="0.2">
      <c r="A4" s="13" t="s">
        <v>34</v>
      </c>
      <c r="B4" s="10" t="s">
        <v>18</v>
      </c>
      <c r="C4" s="8">
        <v>16</v>
      </c>
      <c r="D4" s="8">
        <v>17</v>
      </c>
      <c r="E4" s="8">
        <v>16</v>
      </c>
      <c r="F4" s="8">
        <v>19</v>
      </c>
      <c r="G4" s="8">
        <v>18</v>
      </c>
      <c r="H4" s="8">
        <v>18</v>
      </c>
      <c r="I4" s="8">
        <v>16</v>
      </c>
      <c r="J4" s="8">
        <v>15</v>
      </c>
      <c r="K4" s="8">
        <v>14</v>
      </c>
      <c r="L4" s="8">
        <v>14</v>
      </c>
      <c r="M4" s="8">
        <v>14</v>
      </c>
      <c r="N4" s="8">
        <v>13</v>
      </c>
      <c r="O4" s="8">
        <v>8</v>
      </c>
      <c r="P4" s="8">
        <v>8</v>
      </c>
      <c r="Q4" s="8">
        <v>8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0.66300000000000003</v>
      </c>
      <c r="D6" s="19">
        <v>0.75390000000000001</v>
      </c>
      <c r="E6" s="19">
        <v>0.749</v>
      </c>
      <c r="F6" s="19">
        <v>0.88400000000000001</v>
      </c>
      <c r="G6" s="19">
        <v>0.91969999999999996</v>
      </c>
      <c r="H6" s="19">
        <v>0.8982</v>
      </c>
      <c r="I6" s="19">
        <v>0.83279999999999998</v>
      </c>
      <c r="J6" s="19">
        <v>0.78800000000000003</v>
      </c>
      <c r="K6" s="19">
        <v>0.75639999999999996</v>
      </c>
      <c r="L6" s="19">
        <v>0.71499999999999997</v>
      </c>
      <c r="M6" s="19">
        <v>0.71760000000000002</v>
      </c>
      <c r="N6" s="19">
        <v>0.70179999999999998</v>
      </c>
      <c r="O6" s="19">
        <v>0.44130000000000003</v>
      </c>
      <c r="P6" s="19">
        <v>0.44130000000000003</v>
      </c>
      <c r="Q6" s="19">
        <v>0.44130000000000003</v>
      </c>
    </row>
    <row r="7" spans="1:17" x14ac:dyDescent="0.2">
      <c r="A7" s="17"/>
      <c r="B7" s="18" t="s">
        <v>24</v>
      </c>
      <c r="C7" s="20">
        <v>8</v>
      </c>
      <c r="D7" s="20">
        <v>6</v>
      </c>
      <c r="E7" s="20">
        <v>6</v>
      </c>
      <c r="F7" s="20">
        <v>2</v>
      </c>
      <c r="G7" s="20">
        <v>2</v>
      </c>
      <c r="H7" s="20">
        <v>2</v>
      </c>
      <c r="I7" s="20">
        <v>3</v>
      </c>
      <c r="J7" s="20">
        <v>4</v>
      </c>
      <c r="K7" s="20">
        <v>5</v>
      </c>
      <c r="L7" s="20">
        <v>5</v>
      </c>
      <c r="M7" s="20">
        <v>5</v>
      </c>
      <c r="N7" s="20">
        <v>6</v>
      </c>
      <c r="O7" s="20">
        <v>11</v>
      </c>
      <c r="P7" s="20">
        <v>11</v>
      </c>
      <c r="Q7" s="20">
        <v>11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24</v>
      </c>
      <c r="D9" s="8">
        <v>23</v>
      </c>
      <c r="E9" s="8">
        <v>22</v>
      </c>
      <c r="F9" s="8">
        <v>21</v>
      </c>
      <c r="G9" s="8">
        <v>20</v>
      </c>
      <c r="H9" s="8">
        <v>20</v>
      </c>
      <c r="I9" s="8">
        <v>19</v>
      </c>
      <c r="J9" s="8">
        <v>19</v>
      </c>
      <c r="K9" s="8">
        <v>19</v>
      </c>
      <c r="L9" s="8">
        <v>19</v>
      </c>
      <c r="M9" s="8">
        <v>19</v>
      </c>
      <c r="N9" s="8">
        <v>19</v>
      </c>
      <c r="O9" s="8">
        <v>19</v>
      </c>
      <c r="P9" s="8">
        <v>19</v>
      </c>
      <c r="Q9" s="8">
        <v>19</v>
      </c>
    </row>
    <row r="10" spans="1:17" x14ac:dyDescent="0.2">
      <c r="A10" s="9" t="s">
        <v>17</v>
      </c>
      <c r="B10" s="12" t="s">
        <v>19</v>
      </c>
      <c r="C10" s="8">
        <v>20</v>
      </c>
      <c r="D10" s="8">
        <v>20</v>
      </c>
      <c r="E10" s="8">
        <v>20</v>
      </c>
      <c r="F10" s="8">
        <v>19</v>
      </c>
      <c r="G10" s="8">
        <v>19</v>
      </c>
      <c r="H10" s="8">
        <v>19</v>
      </c>
      <c r="I10" s="8">
        <v>19</v>
      </c>
      <c r="J10" s="8">
        <v>19</v>
      </c>
      <c r="K10" s="8">
        <v>19</v>
      </c>
      <c r="L10" s="8">
        <v>19</v>
      </c>
      <c r="M10" s="8">
        <v>19</v>
      </c>
      <c r="N10" s="8">
        <v>19</v>
      </c>
      <c r="O10" s="8">
        <v>19</v>
      </c>
      <c r="P10" s="8">
        <v>19</v>
      </c>
      <c r="Q10" s="8">
        <v>19</v>
      </c>
    </row>
    <row r="11" spans="1:17" x14ac:dyDescent="0.2">
      <c r="A11" s="16" t="s">
        <v>18</v>
      </c>
      <c r="B11" s="13" t="s">
        <v>19</v>
      </c>
      <c r="C11" s="8">
        <v>16</v>
      </c>
      <c r="D11" s="8">
        <v>17</v>
      </c>
      <c r="E11" s="8">
        <v>16</v>
      </c>
      <c r="F11" s="8">
        <v>19</v>
      </c>
      <c r="G11" s="8">
        <v>18</v>
      </c>
      <c r="H11" s="8">
        <v>18</v>
      </c>
      <c r="I11" s="8">
        <v>16</v>
      </c>
      <c r="J11" s="8">
        <v>15</v>
      </c>
      <c r="K11" s="8">
        <v>14</v>
      </c>
      <c r="L11" s="8">
        <v>14</v>
      </c>
      <c r="M11" s="8">
        <v>14</v>
      </c>
      <c r="N11" s="8">
        <v>13</v>
      </c>
      <c r="O11" s="8">
        <v>8</v>
      </c>
      <c r="P11" s="8">
        <v>8</v>
      </c>
      <c r="Q11" s="8">
        <v>8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30</v>
      </c>
      <c r="B13" s="11" t="s">
        <v>20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</row>
    <row r="14" spans="1:17" x14ac:dyDescent="0.2">
      <c r="A14" s="9" t="s">
        <v>17</v>
      </c>
      <c r="B14" s="12" t="s">
        <v>20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</row>
    <row r="15" spans="1:17" x14ac:dyDescent="0.2">
      <c r="A15" s="16">
        <v>0</v>
      </c>
      <c r="B15" s="13" t="s">
        <v>20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30</v>
      </c>
      <c r="B17" s="11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</row>
    <row r="18" spans="1:17" x14ac:dyDescent="0.2">
      <c r="A18" s="9" t="s">
        <v>17</v>
      </c>
      <c r="B18" s="12" t="s">
        <v>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x14ac:dyDescent="0.2">
      <c r="A19" s="16">
        <v>0</v>
      </c>
      <c r="B19" s="13" t="s">
        <v>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34</v>
      </c>
      <c r="B32" s="7" t="s">
        <v>16</v>
      </c>
      <c r="C32" s="26">
        <v>23</v>
      </c>
      <c r="D32" s="21">
        <v>20</v>
      </c>
      <c r="E32" s="21">
        <v>19</v>
      </c>
      <c r="F32" s="21">
        <v>19</v>
      </c>
      <c r="G32" s="21">
        <v>19</v>
      </c>
    </row>
    <row r="33" spans="1:7" x14ac:dyDescent="0.2">
      <c r="A33" s="12" t="s">
        <v>34</v>
      </c>
      <c r="B33" s="9" t="s">
        <v>17</v>
      </c>
      <c r="C33" s="26">
        <v>20</v>
      </c>
      <c r="D33" s="21">
        <v>19</v>
      </c>
      <c r="E33" s="21">
        <v>19</v>
      </c>
      <c r="F33" s="21">
        <v>19</v>
      </c>
      <c r="G33" s="21">
        <v>19</v>
      </c>
    </row>
    <row r="34" spans="1:7" x14ac:dyDescent="0.2">
      <c r="A34" s="13" t="s">
        <v>34</v>
      </c>
      <c r="B34" s="10" t="s">
        <v>18</v>
      </c>
      <c r="C34" s="26">
        <v>17</v>
      </c>
      <c r="D34" s="21">
        <v>18</v>
      </c>
      <c r="E34" s="21">
        <v>15</v>
      </c>
      <c r="F34" s="21">
        <v>14</v>
      </c>
      <c r="G34" s="21">
        <v>12</v>
      </c>
    </row>
    <row r="35" spans="1:7" x14ac:dyDescent="0.2">
      <c r="A35" s="17"/>
      <c r="B35" s="8"/>
      <c r="C35" s="27">
        <v>0.27929999999999999</v>
      </c>
      <c r="D35" s="28">
        <v>9.9699999999999997E-2</v>
      </c>
      <c r="E35" s="28">
        <v>0.20760000000000001</v>
      </c>
      <c r="F35" s="28">
        <v>0.28849999999999998</v>
      </c>
      <c r="G35" s="28">
        <v>0.37969999999999998</v>
      </c>
    </row>
    <row r="36" spans="1:7" x14ac:dyDescent="0.2">
      <c r="A36" s="8"/>
      <c r="B36" s="18" t="s">
        <v>23</v>
      </c>
      <c r="C36" s="29">
        <v>0.72070000000000001</v>
      </c>
      <c r="D36" s="19">
        <v>0.90029999999999999</v>
      </c>
      <c r="E36" s="19">
        <v>0.79239999999999999</v>
      </c>
      <c r="F36" s="19">
        <v>0.71150000000000002</v>
      </c>
      <c r="G36" s="19">
        <v>0.62029999999999996</v>
      </c>
    </row>
    <row r="37" spans="1:7" x14ac:dyDescent="0.2">
      <c r="A37" s="17"/>
      <c r="B37" s="18" t="s">
        <v>24</v>
      </c>
      <c r="C37" s="30">
        <v>6</v>
      </c>
      <c r="D37" s="20">
        <v>2</v>
      </c>
      <c r="E37" s="20">
        <v>4</v>
      </c>
      <c r="F37" s="20">
        <v>5</v>
      </c>
      <c r="G37" s="20">
        <v>7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23</v>
      </c>
      <c r="D39" s="21">
        <v>20</v>
      </c>
      <c r="E39" s="21">
        <v>19</v>
      </c>
      <c r="F39" s="21">
        <v>19</v>
      </c>
      <c r="G39" s="21">
        <v>19</v>
      </c>
    </row>
    <row r="40" spans="1:7" x14ac:dyDescent="0.2">
      <c r="A40" s="9" t="s">
        <v>17</v>
      </c>
      <c r="B40" s="12" t="s">
        <v>19</v>
      </c>
      <c r="C40" s="26">
        <v>20</v>
      </c>
      <c r="D40" s="21">
        <v>19</v>
      </c>
      <c r="E40" s="21">
        <v>19</v>
      </c>
      <c r="F40" s="21">
        <v>19</v>
      </c>
      <c r="G40" s="21">
        <v>19</v>
      </c>
    </row>
    <row r="41" spans="1:7" x14ac:dyDescent="0.2">
      <c r="A41" s="16" t="s">
        <v>18</v>
      </c>
      <c r="B41" s="13" t="s">
        <v>19</v>
      </c>
      <c r="C41" s="26">
        <v>17</v>
      </c>
      <c r="D41" s="21">
        <v>18</v>
      </c>
      <c r="E41" s="21">
        <v>15</v>
      </c>
      <c r="F41" s="21">
        <v>14</v>
      </c>
      <c r="G41" s="21">
        <v>12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30</v>
      </c>
      <c r="B43" s="11" t="s">
        <v>20</v>
      </c>
      <c r="C43" s="26">
        <v>0</v>
      </c>
      <c r="D43" s="21">
        <v>0</v>
      </c>
      <c r="E43" s="21">
        <v>0</v>
      </c>
      <c r="F43" s="21">
        <v>0</v>
      </c>
      <c r="G43" s="21">
        <v>0</v>
      </c>
    </row>
    <row r="44" spans="1:7" x14ac:dyDescent="0.2">
      <c r="A44" s="9" t="s">
        <v>17</v>
      </c>
      <c r="B44" s="12" t="s">
        <v>20</v>
      </c>
      <c r="C44" s="26">
        <v>0</v>
      </c>
      <c r="D44" s="21">
        <v>0</v>
      </c>
      <c r="E44" s="21">
        <v>0</v>
      </c>
      <c r="F44" s="21">
        <v>0</v>
      </c>
      <c r="G44" s="21">
        <v>0</v>
      </c>
    </row>
    <row r="45" spans="1:7" x14ac:dyDescent="0.2">
      <c r="A45" s="16">
        <v>0</v>
      </c>
      <c r="B45" s="13" t="s">
        <v>20</v>
      </c>
      <c r="C45" s="26">
        <v>0</v>
      </c>
      <c r="D45" s="21">
        <v>0</v>
      </c>
      <c r="E45" s="21">
        <v>0</v>
      </c>
      <c r="F45" s="21">
        <v>0</v>
      </c>
      <c r="G45" s="21">
        <v>0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30</v>
      </c>
      <c r="B47" s="11" t="s">
        <v>21</v>
      </c>
      <c r="C47" s="26">
        <v>0</v>
      </c>
      <c r="D47" s="21">
        <v>0</v>
      </c>
      <c r="E47" s="21">
        <v>0</v>
      </c>
      <c r="F47" s="21">
        <v>0</v>
      </c>
      <c r="G47" s="21">
        <v>0</v>
      </c>
    </row>
    <row r="48" spans="1:7" x14ac:dyDescent="0.2">
      <c r="A48" s="9" t="s">
        <v>17</v>
      </c>
      <c r="B48" s="12" t="s">
        <v>21</v>
      </c>
      <c r="C48" s="26">
        <v>0</v>
      </c>
      <c r="D48" s="21">
        <v>0</v>
      </c>
      <c r="E48" s="21">
        <v>0</v>
      </c>
      <c r="F48" s="21">
        <v>0</v>
      </c>
      <c r="G48" s="21">
        <v>0</v>
      </c>
    </row>
    <row r="49" spans="1:17" x14ac:dyDescent="0.2">
      <c r="A49" s="16">
        <v>0</v>
      </c>
      <c r="B49" s="13" t="s">
        <v>21</v>
      </c>
      <c r="C49" s="26">
        <v>0</v>
      </c>
      <c r="D49" s="21">
        <v>0</v>
      </c>
      <c r="E49" s="21">
        <v>0</v>
      </c>
      <c r="F49" s="21">
        <v>0</v>
      </c>
      <c r="G49" s="21">
        <v>0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46" t="s">
        <v>16</v>
      </c>
      <c r="C62" s="12">
        <v>24</v>
      </c>
      <c r="D62" s="12">
        <v>23</v>
      </c>
      <c r="E62" s="12">
        <v>22</v>
      </c>
      <c r="F62" s="12">
        <v>21</v>
      </c>
      <c r="G62" s="12">
        <v>20</v>
      </c>
      <c r="H62" s="12">
        <v>20</v>
      </c>
      <c r="I62" s="12">
        <v>19</v>
      </c>
      <c r="J62" s="12">
        <v>19</v>
      </c>
      <c r="K62" s="12">
        <v>19</v>
      </c>
      <c r="L62" s="12">
        <v>19</v>
      </c>
      <c r="M62" s="12">
        <v>19</v>
      </c>
      <c r="N62" s="12">
        <v>19</v>
      </c>
      <c r="O62" s="12">
        <v>19</v>
      </c>
      <c r="P62" s="12">
        <v>19</v>
      </c>
      <c r="Q62" s="12">
        <v>19</v>
      </c>
    </row>
    <row r="63" spans="1:17" x14ac:dyDescent="0.2">
      <c r="A63" s="36"/>
      <c r="B63" s="47" t="s">
        <v>18</v>
      </c>
      <c r="C63" s="48">
        <v>15.9125</v>
      </c>
      <c r="D63" s="48">
        <v>17.340624999999999</v>
      </c>
      <c r="E63" s="48">
        <v>16.478124999999999</v>
      </c>
      <c r="F63" s="48">
        <v>18.563124999999999</v>
      </c>
      <c r="G63" s="48">
        <v>18.393125000000001</v>
      </c>
      <c r="H63" s="48">
        <v>17.963125000000002</v>
      </c>
      <c r="I63" s="48">
        <v>15.8225</v>
      </c>
      <c r="J63" s="48">
        <v>14.9725</v>
      </c>
      <c r="K63" s="48">
        <v>14.3725</v>
      </c>
      <c r="L63" s="48">
        <v>13.585000000000001</v>
      </c>
      <c r="M63" s="48">
        <v>13.635</v>
      </c>
      <c r="N63" s="48">
        <v>13.335000000000001</v>
      </c>
      <c r="O63" s="48">
        <v>8.3849999999999998</v>
      </c>
      <c r="P63" s="48">
        <v>8.3849999999999998</v>
      </c>
      <c r="Q63" s="48">
        <v>8.3849999999999998</v>
      </c>
    </row>
    <row r="64" spans="1:17" x14ac:dyDescent="0.2">
      <c r="A64" s="15" t="s">
        <v>72</v>
      </c>
      <c r="B64" s="7" t="s">
        <v>16</v>
      </c>
      <c r="C64" s="35">
        <v>4</v>
      </c>
      <c r="D64" s="35">
        <v>4</v>
      </c>
      <c r="E64" s="35">
        <v>3</v>
      </c>
      <c r="F64" s="35">
        <v>3</v>
      </c>
      <c r="G64" s="35">
        <v>3</v>
      </c>
      <c r="H64" s="35">
        <v>3</v>
      </c>
      <c r="I64" s="35">
        <v>3</v>
      </c>
      <c r="J64" s="35">
        <v>3</v>
      </c>
      <c r="K64" s="35">
        <v>3</v>
      </c>
      <c r="L64" s="35">
        <v>3</v>
      </c>
      <c r="M64" s="35">
        <v>3</v>
      </c>
      <c r="N64" s="35">
        <v>3</v>
      </c>
      <c r="O64" s="35">
        <v>3</v>
      </c>
      <c r="P64" s="35">
        <v>3</v>
      </c>
      <c r="Q64" s="35">
        <v>3</v>
      </c>
    </row>
    <row r="65" spans="1:17" x14ac:dyDescent="0.2">
      <c r="A65" s="39" t="s">
        <v>72</v>
      </c>
      <c r="B65" s="10" t="s">
        <v>18</v>
      </c>
      <c r="C65" s="8">
        <v>2.8</v>
      </c>
      <c r="D65" s="8">
        <v>2.8</v>
      </c>
      <c r="E65" s="8">
        <v>2.8</v>
      </c>
      <c r="F65" s="8">
        <v>2.9</v>
      </c>
      <c r="G65" s="8">
        <v>2.9</v>
      </c>
      <c r="H65" s="8">
        <v>2.9</v>
      </c>
      <c r="I65" s="8">
        <v>2.9</v>
      </c>
      <c r="J65" s="8">
        <v>2.9</v>
      </c>
      <c r="K65" s="8">
        <v>2.9</v>
      </c>
      <c r="L65" s="8">
        <v>2.9</v>
      </c>
      <c r="M65" s="8">
        <v>2.9</v>
      </c>
      <c r="N65" s="8">
        <v>2.9</v>
      </c>
      <c r="O65" s="8">
        <v>2.9</v>
      </c>
      <c r="P65" s="8">
        <v>2.9</v>
      </c>
      <c r="Q65" s="8">
        <v>2.9</v>
      </c>
    </row>
    <row r="66" spans="1:17" x14ac:dyDescent="0.2">
      <c r="A66" s="15" t="s">
        <v>73</v>
      </c>
      <c r="B66" s="7" t="s">
        <v>16</v>
      </c>
      <c r="C66" s="35">
        <v>8</v>
      </c>
      <c r="D66" s="35">
        <v>8</v>
      </c>
      <c r="E66" s="35">
        <v>8</v>
      </c>
      <c r="F66" s="35">
        <v>8</v>
      </c>
      <c r="G66" s="35">
        <v>8</v>
      </c>
      <c r="H66" s="35">
        <v>8</v>
      </c>
      <c r="I66" s="35">
        <v>8</v>
      </c>
      <c r="J66" s="35">
        <v>8</v>
      </c>
      <c r="K66" s="35">
        <v>8</v>
      </c>
      <c r="L66" s="35">
        <v>8</v>
      </c>
      <c r="M66" s="35">
        <v>8</v>
      </c>
      <c r="N66" s="35">
        <v>8</v>
      </c>
      <c r="O66" s="35">
        <v>8</v>
      </c>
      <c r="P66" s="35">
        <v>8</v>
      </c>
      <c r="Q66" s="35">
        <v>8</v>
      </c>
    </row>
    <row r="67" spans="1:17" x14ac:dyDescent="0.2">
      <c r="A67" s="39" t="s">
        <v>73</v>
      </c>
      <c r="B67" s="10" t="s">
        <v>18</v>
      </c>
      <c r="C67" s="8">
        <v>5.2125000000000004</v>
      </c>
      <c r="D67" s="8">
        <v>6.2406249999999996</v>
      </c>
      <c r="E67" s="8">
        <v>6.140625</v>
      </c>
      <c r="F67" s="8">
        <v>7.0131249999999996</v>
      </c>
      <c r="G67" s="8">
        <v>7.0881249999999998</v>
      </c>
      <c r="H67" s="8">
        <v>6.9881250000000001</v>
      </c>
      <c r="I67" s="8">
        <v>5.3475000000000001</v>
      </c>
      <c r="J67" s="8">
        <v>5.1475</v>
      </c>
      <c r="K67" s="8">
        <v>5.1475</v>
      </c>
      <c r="L67" s="8">
        <v>4.1100000000000003</v>
      </c>
      <c r="M67" s="8">
        <v>4.1100000000000003</v>
      </c>
      <c r="N67" s="8">
        <v>4.1100000000000003</v>
      </c>
      <c r="O67" s="8">
        <v>3.6850000000000001</v>
      </c>
      <c r="P67" s="8">
        <v>3.6850000000000001</v>
      </c>
      <c r="Q67" s="8">
        <v>3.6850000000000001</v>
      </c>
    </row>
    <row r="68" spans="1:17" x14ac:dyDescent="0.2">
      <c r="A68" s="15" t="s">
        <v>74</v>
      </c>
      <c r="B68" s="7" t="s">
        <v>16</v>
      </c>
      <c r="C68" s="35">
        <v>7</v>
      </c>
      <c r="D68" s="35">
        <v>6</v>
      </c>
      <c r="E68" s="35">
        <v>6</v>
      </c>
      <c r="F68" s="35">
        <v>6</v>
      </c>
      <c r="G68" s="35">
        <v>6</v>
      </c>
      <c r="H68" s="35">
        <v>6</v>
      </c>
      <c r="I68" s="35">
        <v>5</v>
      </c>
      <c r="J68" s="35">
        <v>5</v>
      </c>
      <c r="K68" s="35">
        <v>5</v>
      </c>
      <c r="L68" s="35">
        <v>5</v>
      </c>
      <c r="M68" s="35">
        <v>5</v>
      </c>
      <c r="N68" s="35">
        <v>5</v>
      </c>
      <c r="O68" s="35">
        <v>5</v>
      </c>
      <c r="P68" s="35">
        <v>5</v>
      </c>
      <c r="Q68" s="35">
        <v>5</v>
      </c>
    </row>
    <row r="69" spans="1:17" x14ac:dyDescent="0.2">
      <c r="A69" s="39" t="s">
        <v>74</v>
      </c>
      <c r="B69" s="10" t="s">
        <v>18</v>
      </c>
      <c r="C69" s="8">
        <v>4.2</v>
      </c>
      <c r="D69" s="8">
        <v>4.5</v>
      </c>
      <c r="E69" s="8">
        <v>4.1500000000000004</v>
      </c>
      <c r="F69" s="8">
        <v>5.05</v>
      </c>
      <c r="G69" s="8">
        <v>5.3</v>
      </c>
      <c r="H69" s="8">
        <v>4.95</v>
      </c>
      <c r="I69" s="8">
        <v>4.45</v>
      </c>
      <c r="J69" s="8">
        <v>3.8</v>
      </c>
      <c r="K69" s="8">
        <v>3.75</v>
      </c>
      <c r="L69" s="8">
        <v>3.7</v>
      </c>
      <c r="M69" s="8">
        <v>3.7</v>
      </c>
      <c r="N69" s="8">
        <v>3.7</v>
      </c>
      <c r="O69" s="8">
        <v>1.4</v>
      </c>
      <c r="P69" s="8">
        <v>1.4</v>
      </c>
      <c r="Q69" s="8">
        <v>1.4</v>
      </c>
    </row>
    <row r="70" spans="1:17" x14ac:dyDescent="0.2">
      <c r="A70" s="15" t="s">
        <v>75</v>
      </c>
      <c r="B70" s="7" t="s">
        <v>16</v>
      </c>
      <c r="C70" s="35">
        <v>4</v>
      </c>
      <c r="D70" s="35">
        <v>4</v>
      </c>
      <c r="E70" s="35">
        <v>4</v>
      </c>
      <c r="F70" s="35">
        <v>4</v>
      </c>
      <c r="G70" s="35">
        <v>3</v>
      </c>
      <c r="H70" s="35">
        <v>3</v>
      </c>
      <c r="I70" s="35">
        <v>3</v>
      </c>
      <c r="J70" s="35">
        <v>3</v>
      </c>
      <c r="K70" s="35">
        <v>3</v>
      </c>
      <c r="L70" s="35">
        <v>3</v>
      </c>
      <c r="M70" s="35">
        <v>3</v>
      </c>
      <c r="N70" s="35">
        <v>3</v>
      </c>
      <c r="O70" s="35">
        <v>3</v>
      </c>
      <c r="P70" s="35">
        <v>3</v>
      </c>
      <c r="Q70" s="35">
        <v>3</v>
      </c>
    </row>
    <row r="71" spans="1:17" x14ac:dyDescent="0.2">
      <c r="A71" s="39" t="s">
        <v>75</v>
      </c>
      <c r="B71" s="10" t="s">
        <v>18</v>
      </c>
      <c r="C71" s="8">
        <v>3.1</v>
      </c>
      <c r="D71" s="8">
        <v>3.2</v>
      </c>
      <c r="E71" s="8">
        <v>2.9874999999999998</v>
      </c>
      <c r="F71" s="8">
        <v>3.6</v>
      </c>
      <c r="G71" s="8">
        <v>3.105</v>
      </c>
      <c r="H71" s="8">
        <v>3.125</v>
      </c>
      <c r="I71" s="8">
        <v>3.125</v>
      </c>
      <c r="J71" s="8">
        <v>3.125</v>
      </c>
      <c r="K71" s="8">
        <v>2.5750000000000002</v>
      </c>
      <c r="L71" s="8">
        <v>2.875</v>
      </c>
      <c r="M71" s="8">
        <v>2.9249999999999998</v>
      </c>
      <c r="N71" s="8">
        <v>2.625</v>
      </c>
      <c r="O71" s="8">
        <v>0.4</v>
      </c>
      <c r="P71" s="8">
        <v>0.4</v>
      </c>
      <c r="Q71" s="8">
        <v>0.4</v>
      </c>
    </row>
    <row r="72" spans="1:17" x14ac:dyDescent="0.2">
      <c r="A72" s="15" t="s">
        <v>76</v>
      </c>
      <c r="B72" s="7" t="s">
        <v>16</v>
      </c>
      <c r="C72" s="35">
        <v>1</v>
      </c>
      <c r="D72" s="35">
        <v>1</v>
      </c>
      <c r="E72" s="35">
        <v>1</v>
      </c>
      <c r="F72" s="35">
        <v>0</v>
      </c>
      <c r="G72" s="35">
        <v>0</v>
      </c>
      <c r="H72" s="35">
        <v>0</v>
      </c>
      <c r="I72" s="35">
        <v>0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  <c r="O72" s="35">
        <v>0</v>
      </c>
      <c r="P72" s="35">
        <v>0</v>
      </c>
      <c r="Q72" s="35">
        <v>0</v>
      </c>
    </row>
    <row r="73" spans="1:17" x14ac:dyDescent="0.2">
      <c r="A73" s="39" t="s">
        <v>76</v>
      </c>
      <c r="B73" s="10" t="s">
        <v>18</v>
      </c>
      <c r="C73" s="8">
        <v>0.6</v>
      </c>
      <c r="D73" s="8">
        <v>0.6</v>
      </c>
      <c r="E73" s="8">
        <v>0.4</v>
      </c>
      <c r="F73" s="8">
        <v>0</v>
      </c>
      <c r="G73" s="8">
        <v>0</v>
      </c>
      <c r="H73" s="8">
        <v>0</v>
      </c>
      <c r="I73" s="8">
        <v>0</v>
      </c>
      <c r="J73" s="8">
        <v>0</v>
      </c>
      <c r="K73" s="8">
        <v>0</v>
      </c>
      <c r="L73" s="8">
        <v>0</v>
      </c>
      <c r="M73" s="8">
        <v>0</v>
      </c>
      <c r="N73" s="8">
        <v>0</v>
      </c>
      <c r="O73" s="8">
        <v>0</v>
      </c>
      <c r="P73" s="8">
        <v>0</v>
      </c>
      <c r="Q73" s="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1888F-7B75-244A-B119-7132B64EC1D8}">
  <sheetPr>
    <tabColor theme="9" tint="0.79998168889431442"/>
  </sheetPr>
  <dimension ref="A1:P153"/>
  <sheetViews>
    <sheetView topLeftCell="A129" workbookViewId="0">
      <selection activeCell="A151" sqref="A151:XFD153"/>
    </sheetView>
  </sheetViews>
  <sheetFormatPr baseColWidth="10" defaultRowHeight="16" x14ac:dyDescent="0.2"/>
  <cols>
    <col min="1" max="1" width="12.83203125" bestFit="1" customWidth="1"/>
  </cols>
  <sheetData>
    <row r="1" spans="1:16" x14ac:dyDescent="0.2">
      <c r="B1" t="str">
        <f>IF(AIC!C1&gt;0,AIC!C1,"")</f>
        <v>JAN</v>
      </c>
      <c r="C1" t="str">
        <f>IF(AIC!D1&gt;0,AIC!D1,"")</f>
        <v>FEB</v>
      </c>
      <c r="D1" t="str">
        <f>IF(AIC!E1&gt;0,AIC!E1,"")</f>
        <v>MAR</v>
      </c>
      <c r="E1" t="str">
        <f>IF(AIC!F1&gt;0,AIC!F1,"")</f>
        <v>APR</v>
      </c>
      <c r="F1" t="str">
        <f>IF(AIC!G1&gt;0,AIC!G1,"")</f>
        <v>MAY</v>
      </c>
      <c r="G1" t="str">
        <f>IF(AIC!H1&gt;0,AIC!H1,"")</f>
        <v>JUN</v>
      </c>
      <c r="H1" t="str">
        <f>IF(AIC!I1&gt;0,AIC!I1,"")</f>
        <v>JUL</v>
      </c>
      <c r="I1" t="str">
        <f>IF(AIC!J1&gt;0,AIC!J1,"")</f>
        <v>AUG</v>
      </c>
      <c r="J1" t="str">
        <f>IF(AIC!K1&gt;0,AIC!K1,"")</f>
        <v>SEP</v>
      </c>
      <c r="K1" t="str">
        <f>IF(AIC!L1&gt;0,AIC!L1,"")</f>
        <v>OCT</v>
      </c>
      <c r="L1" t="str">
        <f>IF(AIC!M1&gt;0,AIC!M1,"")</f>
        <v>NOV</v>
      </c>
      <c r="M1" t="str">
        <f>IF(AIC!N1&gt;0,AIC!N1,"")</f>
        <v>DEC</v>
      </c>
      <c r="N1" t="str">
        <f>IF(AIC!O1&gt;0,AIC!O1,"")</f>
        <v>JAN'27</v>
      </c>
      <c r="O1" t="str">
        <f>IF(AIC!P1&gt;0,AIC!P1,"")</f>
        <v>FEB'27</v>
      </c>
      <c r="P1" t="str">
        <f>IF(AIC!Q1&gt;0,AIC!Q1,"")</f>
        <v>MAR'27</v>
      </c>
    </row>
    <row r="2" spans="1:16" x14ac:dyDescent="0.2">
      <c r="A2" t="str">
        <f>IF(AIC!B2&gt;0,AIC!B2,"")</f>
        <v>Staff</v>
      </c>
      <c r="B2">
        <f>IF(AIC!C2&gt;0,AIC!C2,"")</f>
        <v>24</v>
      </c>
      <c r="C2">
        <f>IF(AIC!D2&gt;0,AIC!D2,"")</f>
        <v>23</v>
      </c>
      <c r="D2">
        <f>IF(AIC!E2&gt;0,AIC!E2,"")</f>
        <v>22</v>
      </c>
      <c r="E2">
        <f>IF(AIC!F2&gt;0,AIC!F2,"")</f>
        <v>21</v>
      </c>
      <c r="F2">
        <f>IF(AIC!G2&gt;0,AIC!G2,"")</f>
        <v>20</v>
      </c>
      <c r="G2">
        <f>IF(AIC!H2&gt;0,AIC!H2,"")</f>
        <v>20</v>
      </c>
      <c r="H2">
        <f>IF(AIC!I2&gt;0,AIC!I2,"")</f>
        <v>19</v>
      </c>
      <c r="I2">
        <f>IF(AIC!J2&gt;0,AIC!J2,"")</f>
        <v>19</v>
      </c>
      <c r="J2">
        <f>IF(AIC!K2&gt;0,AIC!K2,"")</f>
        <v>19</v>
      </c>
      <c r="K2">
        <f>IF(AIC!L2&gt;0,AIC!L2,"")</f>
        <v>19</v>
      </c>
      <c r="L2">
        <f>IF(AIC!M2&gt;0,AIC!M2,"")</f>
        <v>19</v>
      </c>
      <c r="M2">
        <f>IF(AIC!N2&gt;0,AIC!N2,"")</f>
        <v>19</v>
      </c>
      <c r="N2">
        <f>IF(AIC!O2&gt;0,AIC!O2,"")</f>
        <v>19</v>
      </c>
      <c r="O2">
        <f>IF(AIC!P2&gt;0,AIC!P2,"")</f>
        <v>19</v>
      </c>
      <c r="P2">
        <f>IF(AIC!Q2&gt;0,AIC!Q2,"")</f>
        <v>19</v>
      </c>
    </row>
    <row r="3" spans="1:16" x14ac:dyDescent="0.2">
      <c r="A3" t="str">
        <f>IF(AIC!B3&gt;0,AIC!B3,"")</f>
        <v>Staff AVG</v>
      </c>
      <c r="B3">
        <f>IF(AIC!C3&gt;0,AIC!C3,"")</f>
        <v>20</v>
      </c>
      <c r="C3">
        <f>IF(AIC!D3&gt;0,AIC!D3,"")</f>
        <v>20</v>
      </c>
      <c r="D3">
        <f>IF(AIC!E3&gt;0,AIC!E3,"")</f>
        <v>20</v>
      </c>
      <c r="E3">
        <f>IF(AIC!F3&gt;0,AIC!F3,"")</f>
        <v>20</v>
      </c>
      <c r="F3">
        <f>IF(AIC!G3&gt;0,AIC!G3,"")</f>
        <v>20</v>
      </c>
      <c r="G3">
        <f>IF(AIC!H3&gt;0,AIC!H3,"")</f>
        <v>20</v>
      </c>
      <c r="H3">
        <f>IF(AIC!I3&gt;0,AIC!I3,"")</f>
        <v>20</v>
      </c>
      <c r="I3">
        <f>IF(AIC!J3&gt;0,AIC!J3,"")</f>
        <v>20</v>
      </c>
      <c r="J3">
        <f>IF(AIC!K3&gt;0,AIC!K3,"")</f>
        <v>20</v>
      </c>
      <c r="K3">
        <f>IF(AIC!L3&gt;0,AIC!L3,"")</f>
        <v>20</v>
      </c>
      <c r="L3">
        <f>IF(AIC!M3&gt;0,AIC!M3,"")</f>
        <v>20</v>
      </c>
      <c r="M3">
        <f>IF(AIC!N3&gt;0,AIC!N3,"")</f>
        <v>20</v>
      </c>
      <c r="N3">
        <f>IF(AIC!O3&gt;0,AIC!O3,"")</f>
        <v>20</v>
      </c>
      <c r="O3">
        <f>IF(AIC!P3&gt;0,AIC!P3,"")</f>
        <v>20</v>
      </c>
      <c r="P3">
        <f>IF(AIC!Q3&gt;0,AIC!Q3,"")</f>
        <v>20</v>
      </c>
    </row>
    <row r="4" spans="1:16" x14ac:dyDescent="0.2">
      <c r="A4" t="str">
        <f>IF(AIC!B4&gt;0,AIC!B4,"")</f>
        <v>Plan</v>
      </c>
      <c r="B4">
        <f>IF(AIC!C4&gt;0,AIC!C4,"")</f>
        <v>16</v>
      </c>
      <c r="C4">
        <f>IF(AIC!D4&gt;0,AIC!D4,"")</f>
        <v>17</v>
      </c>
      <c r="D4">
        <f>IF(AIC!E4&gt;0,AIC!E4,"")</f>
        <v>16</v>
      </c>
      <c r="E4">
        <f>IF(AIC!F4&gt;0,AIC!F4,"")</f>
        <v>19</v>
      </c>
      <c r="F4">
        <f>IF(AIC!G4&gt;0,AIC!G4,"")</f>
        <v>18</v>
      </c>
      <c r="G4">
        <f>IF(AIC!H4&gt;0,AIC!H4,"")</f>
        <v>18</v>
      </c>
      <c r="H4">
        <f>IF(AIC!I4&gt;0,AIC!I4,"")</f>
        <v>16</v>
      </c>
      <c r="I4">
        <f>IF(AIC!J4&gt;0,AIC!J4,"")</f>
        <v>15</v>
      </c>
      <c r="J4">
        <f>IF(AIC!K4&gt;0,AIC!K4,"")</f>
        <v>14</v>
      </c>
      <c r="K4">
        <f>IF(AIC!L4&gt;0,AIC!L4,"")</f>
        <v>14</v>
      </c>
      <c r="L4">
        <f>IF(AIC!M4&gt;0,AIC!M4,"")</f>
        <v>14</v>
      </c>
      <c r="M4">
        <f>IF(AIC!N4&gt;0,AIC!N4,"")</f>
        <v>13</v>
      </c>
      <c r="N4">
        <f>IF(AIC!O4&gt;0,AIC!O4,"")</f>
        <v>8</v>
      </c>
      <c r="O4">
        <f>IF(AIC!P4&gt;0,AIC!P4,"")</f>
        <v>8</v>
      </c>
      <c r="P4">
        <f>IF(AIC!Q4&gt;0,AIC!Q4,"")</f>
        <v>8</v>
      </c>
    </row>
    <row r="5" spans="1:16" x14ac:dyDescent="0.2">
      <c r="A5" t="str">
        <f>IF(AIC!B11&gt;0,AIC!B11,"")</f>
        <v>PAYROLL</v>
      </c>
      <c r="B5">
        <f>IF(AIC!C11&gt;0,AIC!C11,"")</f>
        <v>16</v>
      </c>
      <c r="C5">
        <f>IF(AIC!D11&gt;0,AIC!D11,"")</f>
        <v>17</v>
      </c>
      <c r="D5">
        <f>IF(AIC!E11&gt;0,AIC!E11,"")</f>
        <v>16</v>
      </c>
      <c r="E5">
        <f>IF(AIC!F11&gt;0,AIC!F11,"")</f>
        <v>19</v>
      </c>
      <c r="F5">
        <f>IF(AIC!G11&gt;0,AIC!G11,"")</f>
        <v>18</v>
      </c>
      <c r="G5">
        <f>IF(AIC!H11&gt;0,AIC!H11,"")</f>
        <v>18</v>
      </c>
      <c r="H5">
        <f>IF(AIC!I11&gt;0,AIC!I11,"")</f>
        <v>16</v>
      </c>
      <c r="I5">
        <f>IF(AIC!J11&gt;0,AIC!J11,"")</f>
        <v>15</v>
      </c>
      <c r="J5">
        <f>IF(AIC!K11&gt;0,AIC!K11,"")</f>
        <v>14</v>
      </c>
      <c r="K5">
        <f>IF(AIC!L11&gt;0,AIC!L11,"")</f>
        <v>14</v>
      </c>
      <c r="L5">
        <f>IF(AIC!M11&gt;0,AIC!M11,"")</f>
        <v>14</v>
      </c>
      <c r="M5">
        <f>IF(AIC!N11&gt;0,AIC!N11,"")</f>
        <v>13</v>
      </c>
      <c r="N5">
        <f>IF(AIC!O11&gt;0,AIC!O11,"")</f>
        <v>8</v>
      </c>
      <c r="O5">
        <f>IF(AIC!P11&gt;0,AIC!P11,"")</f>
        <v>8</v>
      </c>
      <c r="P5">
        <f>IF(AIC!Q11&gt;0,AIC!Q11,"")</f>
        <v>8</v>
      </c>
    </row>
    <row r="6" spans="1:16" x14ac:dyDescent="0.2">
      <c r="A6" t="str">
        <f>IF(AIC!B15&gt;0,AIC!B15,"")</f>
        <v>CONTRACTOR</v>
      </c>
      <c r="B6" t="str">
        <f>IF(AIC!C15&gt;0,AIC!C15,"")</f>
        <v/>
      </c>
      <c r="C6" t="str">
        <f>IF(AIC!D15&gt;0,AIC!D15,"")</f>
        <v/>
      </c>
      <c r="D6" t="str">
        <f>IF(AIC!E15&gt;0,AIC!E15,"")</f>
        <v/>
      </c>
      <c r="E6" t="str">
        <f>IF(AIC!F15&gt;0,AIC!F15,"")</f>
        <v/>
      </c>
      <c r="F6" t="str">
        <f>IF(AIC!G15&gt;0,AIC!G15,"")</f>
        <v/>
      </c>
      <c r="G6" t="str">
        <f>IF(AIC!H15&gt;0,AIC!H15,"")</f>
        <v/>
      </c>
      <c r="H6" t="str">
        <f>IF(AIC!I15&gt;0,AIC!I15,"")</f>
        <v/>
      </c>
      <c r="I6" t="str">
        <f>IF(AIC!J15&gt;0,AIC!J15,"")</f>
        <v/>
      </c>
      <c r="J6" t="str">
        <f>IF(AIC!K15&gt;0,AIC!K15,"")</f>
        <v/>
      </c>
      <c r="K6" t="str">
        <f>IF(AIC!L15&gt;0,AIC!L15,"")</f>
        <v/>
      </c>
      <c r="L6" t="str">
        <f>IF(AIC!M15&gt;0,AIC!M15,"")</f>
        <v/>
      </c>
      <c r="M6" t="str">
        <f>IF(AIC!N15&gt;0,AIC!N15,"")</f>
        <v/>
      </c>
      <c r="N6" t="str">
        <f>IF(AIC!O15&gt;0,AIC!O15,"")</f>
        <v/>
      </c>
      <c r="O6" t="str">
        <f>IF(AIC!P15&gt;0,AIC!P15,"")</f>
        <v/>
      </c>
      <c r="P6" t="str">
        <f>IF(AIC!Q15&gt;0,AIC!Q15,"")</f>
        <v/>
      </c>
    </row>
    <row r="7" spans="1:16" x14ac:dyDescent="0.2">
      <c r="A7" t="str">
        <f>IF(AIC!B19&gt;0,AIC!B19,"")</f>
        <v>OUTSOURCE</v>
      </c>
      <c r="B7" t="str">
        <f>IF(AIC!C19&gt;0,AIC!C19,"")</f>
        <v/>
      </c>
      <c r="C7" t="str">
        <f>IF(AIC!D19&gt;0,AIC!D19,"")</f>
        <v/>
      </c>
      <c r="D7" t="str">
        <f>IF(AIC!E19&gt;0,AIC!E19,"")</f>
        <v/>
      </c>
      <c r="E7" t="str">
        <f>IF(AIC!F19&gt;0,AIC!F19,"")</f>
        <v/>
      </c>
      <c r="F7" t="str">
        <f>IF(AIC!G19&gt;0,AIC!G19,"")</f>
        <v/>
      </c>
      <c r="G7" t="str">
        <f>IF(AIC!H19&gt;0,AIC!H19,"")</f>
        <v/>
      </c>
      <c r="H7" t="str">
        <f>IF(AIC!I19&gt;0,AIC!I19,"")</f>
        <v/>
      </c>
      <c r="I7" t="str">
        <f>IF(AIC!J19&gt;0,AIC!J19,"")</f>
        <v/>
      </c>
      <c r="J7" t="str">
        <f>IF(AIC!K19&gt;0,AIC!K19,"")</f>
        <v/>
      </c>
      <c r="K7" t="str">
        <f>IF(AIC!L19&gt;0,AIC!L19,"")</f>
        <v/>
      </c>
      <c r="L7" t="str">
        <f>IF(AIC!M19&gt;0,AIC!M19,"")</f>
        <v/>
      </c>
      <c r="M7" t="str">
        <f>IF(AIC!N19&gt;0,AIC!N19,"")</f>
        <v/>
      </c>
      <c r="N7" t="str">
        <f>IF(AIC!O19&gt;0,AIC!O19,"")</f>
        <v/>
      </c>
      <c r="O7" t="str">
        <f>IF(AIC!P19&gt;0,AIC!P19,"")</f>
        <v/>
      </c>
      <c r="P7" t="str">
        <f>IF(AIC!Q19&gt;0,AIC!Q19,"")</f>
        <v/>
      </c>
    </row>
    <row r="11" spans="1:16" x14ac:dyDescent="0.2">
      <c r="B11" t="str">
        <f>IF(AIC!C1&gt;0,AIC!C1,"")</f>
        <v>JAN</v>
      </c>
      <c r="C11" t="str">
        <f>IF(AIC!D1&gt;0,AIC!D1,"")</f>
        <v>FEB</v>
      </c>
      <c r="D11" t="str">
        <f>IF(AIC!E1&gt;0,AIC!E1,"")</f>
        <v>MAR</v>
      </c>
      <c r="E11" t="str">
        <f>IF(AIC!F1&gt;0,AIC!F1,"")</f>
        <v>APR</v>
      </c>
      <c r="F11" t="str">
        <f>IF(AIC!G1&gt;0,AIC!G1,"")</f>
        <v>MAY</v>
      </c>
      <c r="G11" t="str">
        <f>IF(AIC!H1&gt;0,AIC!H1,"")</f>
        <v>JUN</v>
      </c>
      <c r="H11" t="str">
        <f>IF(AIC!I1&gt;0,AIC!I1,"")</f>
        <v>JUL</v>
      </c>
      <c r="I11" t="str">
        <f>IF(AIC!J1&gt;0,AIC!J1,"")</f>
        <v>AUG</v>
      </c>
      <c r="J11" t="str">
        <f>IF(AIC!K1&gt;0,AIC!K1,"")</f>
        <v>SEP</v>
      </c>
      <c r="K11" t="str">
        <f>IF(AIC!L1&gt;0,AIC!L1,"")</f>
        <v>OCT</v>
      </c>
      <c r="L11" t="str">
        <f>IF(AIC!M1&gt;0,AIC!M1,"")</f>
        <v>NOV</v>
      </c>
      <c r="M11" t="str">
        <f>IF(AIC!N1&gt;0,AIC!N1,"")</f>
        <v>DEC</v>
      </c>
      <c r="N11" t="str">
        <f>IF(AIC!O1&gt;0,AIC!O1,"")</f>
        <v>JAN'27</v>
      </c>
      <c r="O11" t="str">
        <f>IF(AIC!P1&gt;0,AIC!P1,"")</f>
        <v>FEB'27</v>
      </c>
      <c r="P11" t="str">
        <f>IF(AIC!Q1&gt;0,AIC!Q1,"")</f>
        <v>MAR'27</v>
      </c>
    </row>
    <row r="12" spans="1:16" x14ac:dyDescent="0.2">
      <c r="A12" t="str">
        <f>IF(AIC!B2&gt;0,AIC!B2,"")</f>
        <v>Staff</v>
      </c>
      <c r="B12">
        <f>IF(AIC!C9&gt;0,AIC!C9,"")</f>
        <v>24</v>
      </c>
      <c r="C12">
        <f>IF(AIC!D9&gt;0,AIC!D9,"")</f>
        <v>23</v>
      </c>
      <c r="D12">
        <f>IF(AIC!E9&gt;0,AIC!E9,"")</f>
        <v>22</v>
      </c>
      <c r="E12">
        <f>IF(AIC!F9&gt;0,AIC!F9,"")</f>
        <v>21</v>
      </c>
      <c r="F12">
        <f>IF(AIC!G9&gt;0,AIC!G9,"")</f>
        <v>20</v>
      </c>
      <c r="G12">
        <f>IF(AIC!H9&gt;0,AIC!H9,"")</f>
        <v>20</v>
      </c>
      <c r="H12">
        <f>IF(AIC!I9&gt;0,AIC!I9,"")</f>
        <v>19</v>
      </c>
      <c r="I12">
        <f>IF(AIC!J9&gt;0,AIC!J9,"")</f>
        <v>19</v>
      </c>
      <c r="J12">
        <f>IF(AIC!K9&gt;0,AIC!K9,"")</f>
        <v>19</v>
      </c>
      <c r="K12">
        <f>IF(AIC!L9&gt;0,AIC!L9,"")</f>
        <v>19</v>
      </c>
      <c r="L12">
        <f>IF(AIC!M9&gt;0,AIC!M9,"")</f>
        <v>19</v>
      </c>
      <c r="M12">
        <f>IF(AIC!N9&gt;0,AIC!N9,"")</f>
        <v>19</v>
      </c>
      <c r="N12">
        <f>IF(AIC!O9&gt;0,AIC!O9,"")</f>
        <v>19</v>
      </c>
      <c r="O12">
        <f>IF(AIC!P9&gt;0,AIC!P9,"")</f>
        <v>19</v>
      </c>
      <c r="P12">
        <f>IF(AIC!Q9&gt;0,AIC!Q9,"")</f>
        <v>19</v>
      </c>
    </row>
    <row r="13" spans="1:16" x14ac:dyDescent="0.2">
      <c r="A13" t="str">
        <f>IF(AIC!B3&gt;0,AIC!B3,"")</f>
        <v>Staff AVG</v>
      </c>
      <c r="B13">
        <f>IF(AIC!C10&gt;0,AIC!C10,"")</f>
        <v>20</v>
      </c>
      <c r="C13">
        <f>IF(AIC!D10&gt;0,AIC!D10,"")</f>
        <v>20</v>
      </c>
      <c r="D13">
        <f>IF(AIC!E10&gt;0,AIC!E10,"")</f>
        <v>20</v>
      </c>
      <c r="E13">
        <f>IF(AIC!F10&gt;0,AIC!F10,"")</f>
        <v>19</v>
      </c>
      <c r="F13">
        <f>IF(AIC!G10&gt;0,AIC!G10,"")</f>
        <v>19</v>
      </c>
      <c r="G13">
        <f>IF(AIC!H10&gt;0,AIC!H10,"")</f>
        <v>19</v>
      </c>
      <c r="H13">
        <f>IF(AIC!I10&gt;0,AIC!I10,"")</f>
        <v>19</v>
      </c>
      <c r="I13">
        <f>IF(AIC!J10&gt;0,AIC!J10,"")</f>
        <v>19</v>
      </c>
      <c r="J13">
        <f>IF(AIC!K10&gt;0,AIC!K10,"")</f>
        <v>19</v>
      </c>
      <c r="K13">
        <f>IF(AIC!L10&gt;0,AIC!L10,"")</f>
        <v>19</v>
      </c>
      <c r="L13">
        <f>IF(AIC!M10&gt;0,AIC!M10,"")</f>
        <v>19</v>
      </c>
      <c r="M13">
        <f>IF(AIC!N10&gt;0,AIC!N10,"")</f>
        <v>19</v>
      </c>
      <c r="N13">
        <f>IF(AIC!O10&gt;0,AIC!O10,"")</f>
        <v>19</v>
      </c>
      <c r="O13">
        <f>IF(AIC!P10&gt;0,AIC!P10,"")</f>
        <v>19</v>
      </c>
      <c r="P13">
        <f>IF(AIC!Q10&gt;0,AIC!Q10,"")</f>
        <v>19</v>
      </c>
    </row>
    <row r="14" spans="1:16" x14ac:dyDescent="0.2">
      <c r="A14" t="str">
        <f>IF(AIC!B4&gt;0,AIC!B4,"")</f>
        <v>Plan</v>
      </c>
      <c r="B14">
        <f>IF(AIC!C11&gt;0,AIC!C11,"")</f>
        <v>16</v>
      </c>
      <c r="C14">
        <f>IF(AIC!D11&gt;0,AIC!D11,"")</f>
        <v>17</v>
      </c>
      <c r="D14">
        <f>IF(AIC!E11&gt;0,AIC!E11,"")</f>
        <v>16</v>
      </c>
      <c r="E14">
        <f>IF(AIC!F11&gt;0,AIC!F11,"")</f>
        <v>19</v>
      </c>
      <c r="F14">
        <f>IF(AIC!G11&gt;0,AIC!G11,"")</f>
        <v>18</v>
      </c>
      <c r="G14">
        <f>IF(AIC!H11&gt;0,AIC!H11,"")</f>
        <v>18</v>
      </c>
      <c r="H14">
        <f>IF(AIC!I11&gt;0,AIC!I11,"")</f>
        <v>16</v>
      </c>
      <c r="I14">
        <f>IF(AIC!J11&gt;0,AIC!J11,"")</f>
        <v>15</v>
      </c>
      <c r="J14">
        <f>IF(AIC!K11&gt;0,AIC!K11,"")</f>
        <v>14</v>
      </c>
      <c r="K14">
        <f>IF(AIC!L11&gt;0,AIC!L11,"")</f>
        <v>14</v>
      </c>
      <c r="L14">
        <f>IF(AIC!M11&gt;0,AIC!M11,"")</f>
        <v>14</v>
      </c>
      <c r="M14">
        <f>IF(AIC!N11&gt;0,AIC!N11,"")</f>
        <v>13</v>
      </c>
      <c r="N14">
        <f>IF(AIC!O11&gt;0,AIC!O11,"")</f>
        <v>8</v>
      </c>
      <c r="O14">
        <f>IF(AIC!P11&gt;0,AIC!P11,"")</f>
        <v>8</v>
      </c>
      <c r="P14">
        <f>IF(AIC!Q11&gt;0,AIC!Q11,"")</f>
        <v>8</v>
      </c>
    </row>
    <row r="21" spans="1:16" x14ac:dyDescent="0.2">
      <c r="B21" t="str">
        <f>IF(AIC!C1&gt;0,AIC!C1,"")</f>
        <v>JAN</v>
      </c>
      <c r="C21" t="str">
        <f>IF(AIC!D1&gt;0,AIC!D1,"")</f>
        <v>FEB</v>
      </c>
      <c r="D21" t="str">
        <f>IF(AIC!E1&gt;0,AIC!E1,"")</f>
        <v>MAR</v>
      </c>
      <c r="E21" t="str">
        <f>IF(AIC!F1&gt;0,AIC!F1,"")</f>
        <v>APR</v>
      </c>
      <c r="F21" t="str">
        <f>IF(AIC!G1&gt;0,AIC!G1,"")</f>
        <v>MAY</v>
      </c>
      <c r="G21" t="str">
        <f>IF(AIC!H1&gt;0,AIC!H1,"")</f>
        <v>JUN</v>
      </c>
      <c r="H21" t="str">
        <f>IF(AIC!I1&gt;0,AIC!I1,"")</f>
        <v>JUL</v>
      </c>
      <c r="I21" t="str">
        <f>IF(AIC!J1&gt;0,AIC!J1,"")</f>
        <v>AUG</v>
      </c>
      <c r="J21" t="str">
        <f>IF(AIC!K1&gt;0,AIC!K1,"")</f>
        <v>SEP</v>
      </c>
      <c r="K21" t="str">
        <f>IF(AIC!L1&gt;0,AIC!L1,"")</f>
        <v>OCT</v>
      </c>
      <c r="L21" t="str">
        <f>IF(AIC!M1&gt;0,AIC!M1,"")</f>
        <v>NOV</v>
      </c>
      <c r="M21" t="str">
        <f>IF(AIC!N1&gt;0,AIC!N1,"")</f>
        <v>DEC</v>
      </c>
      <c r="N21" t="str">
        <f>IF(AIC!O1&gt;0,AIC!O1,"")</f>
        <v>JAN'27</v>
      </c>
      <c r="O21" t="str">
        <f>IF(AIC!P1&gt;0,AIC!P1,"")</f>
        <v>FEB'27</v>
      </c>
      <c r="P21" t="str">
        <f>IF(AIC!Q1&gt;0,AIC!Q1,"")</f>
        <v>MAR'27</v>
      </c>
    </row>
    <row r="22" spans="1:16" x14ac:dyDescent="0.2">
      <c r="A22" t="str">
        <f>IF(AIC!B2&gt;0,AIC!B2,"")</f>
        <v>Staff</v>
      </c>
      <c r="B22">
        <f>AIC!C13</f>
        <v>0</v>
      </c>
      <c r="C22">
        <f>AIC!D13</f>
        <v>0</v>
      </c>
      <c r="D22">
        <f>AIC!E13</f>
        <v>0</v>
      </c>
      <c r="E22">
        <f>AIC!F13</f>
        <v>0</v>
      </c>
      <c r="F22">
        <f>AIC!G13</f>
        <v>0</v>
      </c>
      <c r="G22">
        <f>AIC!H13</f>
        <v>0</v>
      </c>
      <c r="H22">
        <f>AIC!I13</f>
        <v>0</v>
      </c>
      <c r="I22">
        <f>AIC!J13</f>
        <v>0</v>
      </c>
      <c r="J22">
        <f>AIC!K13</f>
        <v>0</v>
      </c>
      <c r="K22">
        <f>AIC!L13</f>
        <v>0</v>
      </c>
      <c r="L22">
        <f>AIC!M13</f>
        <v>0</v>
      </c>
      <c r="M22">
        <f>AIC!N13</f>
        <v>0</v>
      </c>
      <c r="N22">
        <f>AIC!O13</f>
        <v>0</v>
      </c>
      <c r="O22">
        <f>AIC!P13</f>
        <v>0</v>
      </c>
      <c r="P22">
        <f>AIC!Q13</f>
        <v>0</v>
      </c>
    </row>
    <row r="23" spans="1:16" x14ac:dyDescent="0.2">
      <c r="A23" t="str">
        <f>IF(AIC!B3&gt;0,AIC!B3,"")</f>
        <v>Staff AVG</v>
      </c>
      <c r="B23">
        <f>AIC!C14</f>
        <v>0</v>
      </c>
      <c r="C23">
        <f>AIC!D14</f>
        <v>0</v>
      </c>
      <c r="D23">
        <f>AIC!E14</f>
        <v>0</v>
      </c>
      <c r="E23">
        <f>AIC!F14</f>
        <v>0</v>
      </c>
      <c r="F23">
        <f>AIC!G14</f>
        <v>0</v>
      </c>
      <c r="G23">
        <f>AIC!H14</f>
        <v>0</v>
      </c>
      <c r="H23">
        <f>AIC!I14</f>
        <v>0</v>
      </c>
      <c r="I23">
        <f>AIC!J14</f>
        <v>0</v>
      </c>
      <c r="J23">
        <f>AIC!K14</f>
        <v>0</v>
      </c>
      <c r="K23">
        <f>AIC!L14</f>
        <v>0</v>
      </c>
      <c r="L23">
        <f>AIC!M14</f>
        <v>0</v>
      </c>
      <c r="M23">
        <f>AIC!N14</f>
        <v>0</v>
      </c>
      <c r="N23">
        <f>AIC!O14</f>
        <v>0</v>
      </c>
      <c r="O23">
        <f>AIC!P14</f>
        <v>0</v>
      </c>
      <c r="P23">
        <f>AIC!Q14</f>
        <v>0</v>
      </c>
    </row>
    <row r="24" spans="1:16" x14ac:dyDescent="0.2">
      <c r="A24" t="str">
        <f>IF(AIC!B4&gt;0,AIC!B4,"")</f>
        <v>Plan</v>
      </c>
      <c r="B24">
        <f>AIC!C15</f>
        <v>0</v>
      </c>
      <c r="C24">
        <f>AIC!D15</f>
        <v>0</v>
      </c>
      <c r="D24">
        <f>AIC!E15</f>
        <v>0</v>
      </c>
      <c r="E24">
        <f>AIC!F15</f>
        <v>0</v>
      </c>
      <c r="F24">
        <f>AIC!G15</f>
        <v>0</v>
      </c>
      <c r="G24">
        <f>AIC!H15</f>
        <v>0</v>
      </c>
      <c r="H24">
        <f>AIC!I15</f>
        <v>0</v>
      </c>
      <c r="I24">
        <f>AIC!J15</f>
        <v>0</v>
      </c>
      <c r="J24">
        <f>AIC!K15</f>
        <v>0</v>
      </c>
      <c r="K24">
        <f>AIC!L15</f>
        <v>0</v>
      </c>
      <c r="L24">
        <f>AIC!M15</f>
        <v>0</v>
      </c>
      <c r="M24">
        <f>AIC!N15</f>
        <v>0</v>
      </c>
      <c r="N24">
        <f>AIC!O15</f>
        <v>0</v>
      </c>
      <c r="O24">
        <f>AIC!P15</f>
        <v>0</v>
      </c>
      <c r="P24">
        <f>AIC!Q15</f>
        <v>0</v>
      </c>
    </row>
    <row r="31" spans="1:16" x14ac:dyDescent="0.2">
      <c r="B31" t="str">
        <f>IF(AIC!C1&gt;0,AIC!C1,"")</f>
        <v>JAN</v>
      </c>
      <c r="C31" t="str">
        <f>IF(AIC!D1&gt;0,AIC!D1,"")</f>
        <v>FEB</v>
      </c>
      <c r="D31" t="str">
        <f>IF(AIC!E1&gt;0,AIC!E1,"")</f>
        <v>MAR</v>
      </c>
      <c r="E31" t="str">
        <f>IF(AIC!F1&gt;0,AIC!F1,"")</f>
        <v>APR</v>
      </c>
      <c r="F31" t="str">
        <f>IF(AIC!G1&gt;0,AIC!G1,"")</f>
        <v>MAY</v>
      </c>
      <c r="G31" t="str">
        <f>IF(AIC!H1&gt;0,AIC!H1,"")</f>
        <v>JUN</v>
      </c>
      <c r="H31" t="str">
        <f>IF(AIC!I1&gt;0,AIC!I1,"")</f>
        <v>JUL</v>
      </c>
      <c r="I31" t="str">
        <f>IF(AIC!J1&gt;0,AIC!J1,"")</f>
        <v>AUG</v>
      </c>
      <c r="J31" t="str">
        <f>IF(AIC!K1&gt;0,AIC!K1,"")</f>
        <v>SEP</v>
      </c>
      <c r="K31" t="str">
        <f>IF(AIC!L1&gt;0,AIC!L1,"")</f>
        <v>OCT</v>
      </c>
      <c r="L31" t="str">
        <f>IF(AIC!M1&gt;0,AIC!M1,"")</f>
        <v>NOV</v>
      </c>
      <c r="M31" t="str">
        <f>IF(AIC!N1&gt;0,AIC!N1,"")</f>
        <v>DEC</v>
      </c>
      <c r="N31" t="str">
        <f>IF(AIC!O1&gt;0,AIC!O1,"")</f>
        <v>JAN'27</v>
      </c>
      <c r="O31" t="str">
        <f>IF(AIC!P1&gt;0,AIC!P1,"")</f>
        <v>FEB'27</v>
      </c>
      <c r="P31" t="str">
        <f>IF(AIC!Q1&gt;0,AIC!Q1,"")</f>
        <v>MAR'27</v>
      </c>
    </row>
    <row r="32" spans="1:16" x14ac:dyDescent="0.2">
      <c r="A32" t="str">
        <f>IF(AIC!B2&gt;0,AIC!B2,"")</f>
        <v>Staff</v>
      </c>
      <c r="B32">
        <f>AIC!C17</f>
        <v>0</v>
      </c>
      <c r="C32">
        <f>AIC!D17</f>
        <v>0</v>
      </c>
      <c r="D32">
        <f>AIC!E17</f>
        <v>0</v>
      </c>
      <c r="E32">
        <f>AIC!F17</f>
        <v>0</v>
      </c>
      <c r="F32">
        <f>AIC!G17</f>
        <v>0</v>
      </c>
      <c r="G32">
        <f>AIC!H17</f>
        <v>0</v>
      </c>
      <c r="H32">
        <f>AIC!I17</f>
        <v>0</v>
      </c>
      <c r="I32">
        <f>AIC!J17</f>
        <v>0</v>
      </c>
      <c r="J32">
        <f>AIC!K17</f>
        <v>0</v>
      </c>
      <c r="K32">
        <f>AIC!L17</f>
        <v>0</v>
      </c>
      <c r="L32">
        <f>AIC!M17</f>
        <v>0</v>
      </c>
      <c r="M32">
        <f>AIC!N17</f>
        <v>0</v>
      </c>
      <c r="N32">
        <f>AIC!O17</f>
        <v>0</v>
      </c>
      <c r="O32">
        <f>AIC!P17</f>
        <v>0</v>
      </c>
      <c r="P32">
        <f>AIC!Q17</f>
        <v>0</v>
      </c>
    </row>
    <row r="33" spans="1:16" x14ac:dyDescent="0.2">
      <c r="A33" t="str">
        <f>IF(AIC!B3&gt;0,AIC!B3,"")</f>
        <v>Staff AVG</v>
      </c>
      <c r="B33">
        <f>AIC!C18</f>
        <v>0</v>
      </c>
      <c r="C33">
        <f>AIC!D18</f>
        <v>0</v>
      </c>
      <c r="D33">
        <f>AIC!E18</f>
        <v>0</v>
      </c>
      <c r="E33">
        <f>AIC!F18</f>
        <v>0</v>
      </c>
      <c r="F33">
        <f>AIC!G18</f>
        <v>0</v>
      </c>
      <c r="G33">
        <f>AIC!H18</f>
        <v>0</v>
      </c>
      <c r="H33">
        <f>AIC!I18</f>
        <v>0</v>
      </c>
      <c r="I33">
        <f>AIC!J18</f>
        <v>0</v>
      </c>
      <c r="J33">
        <f>AIC!K18</f>
        <v>0</v>
      </c>
      <c r="K33">
        <f>AIC!L18</f>
        <v>0</v>
      </c>
      <c r="L33">
        <f>AIC!M18</f>
        <v>0</v>
      </c>
      <c r="M33">
        <f>AIC!N18</f>
        <v>0</v>
      </c>
      <c r="N33">
        <f>AIC!O18</f>
        <v>0</v>
      </c>
      <c r="O33">
        <f>AIC!P18</f>
        <v>0</v>
      </c>
      <c r="P33">
        <f>AIC!Q18</f>
        <v>0</v>
      </c>
    </row>
    <row r="34" spans="1:16" x14ac:dyDescent="0.2">
      <c r="A34" t="str">
        <f>IF(AIC!B4&gt;0,AIC!B4,"")</f>
        <v>Plan</v>
      </c>
      <c r="B34">
        <f>AIC!C19</f>
        <v>0</v>
      </c>
      <c r="C34">
        <f>AIC!D19</f>
        <v>0</v>
      </c>
      <c r="D34">
        <f>AIC!E19</f>
        <v>0</v>
      </c>
      <c r="E34">
        <f>AIC!F19</f>
        <v>0</v>
      </c>
      <c r="F34">
        <f>AIC!G19</f>
        <v>0</v>
      </c>
      <c r="G34">
        <f>AIC!H19</f>
        <v>0</v>
      </c>
      <c r="H34">
        <f>AIC!I19</f>
        <v>0</v>
      </c>
      <c r="I34">
        <f>AIC!J19</f>
        <v>0</v>
      </c>
      <c r="J34">
        <f>AIC!K19</f>
        <v>0</v>
      </c>
      <c r="K34">
        <f>AIC!L19</f>
        <v>0</v>
      </c>
      <c r="L34">
        <f>AIC!M19</f>
        <v>0</v>
      </c>
      <c r="M34">
        <f>AIC!N19</f>
        <v>0</v>
      </c>
      <c r="N34">
        <f>AIC!O19</f>
        <v>0</v>
      </c>
      <c r="O34">
        <f>AIC!P19</f>
        <v>0</v>
      </c>
      <c r="P34">
        <f>AIC!Q19</f>
        <v>0</v>
      </c>
    </row>
    <row r="41" spans="1:16" x14ac:dyDescent="0.2">
      <c r="B41" t="str">
        <f>IF(AIC!C31&gt;0,AIC!C31,"")</f>
        <v>Q1</v>
      </c>
      <c r="C41" t="str">
        <f>IF(AIC!D31&gt;0,AIC!D31,"")</f>
        <v>Q2</v>
      </c>
      <c r="D41" t="str">
        <f>IF(AIC!E31&gt;0,AIC!E31,"")</f>
        <v>Q3</v>
      </c>
      <c r="E41" t="str">
        <f>IF(AIC!F31&gt;0,AIC!F31,"")</f>
        <v>Q4</v>
      </c>
      <c r="F41" t="str">
        <f>IF(AIC!G31&gt;0,AIC!G31,"")</f>
        <v>Q1'27</v>
      </c>
    </row>
    <row r="42" spans="1:16" x14ac:dyDescent="0.2">
      <c r="A42" t="str">
        <f>IF(AIC!B32&gt;0,AIC!B32,"")</f>
        <v>Staff</v>
      </c>
      <c r="B42">
        <f>IF(AIC!C32&gt;0,AIC!C32,"")</f>
        <v>23</v>
      </c>
      <c r="C42">
        <f>IF(AIC!D32&gt;0,AIC!D32,"")</f>
        <v>20</v>
      </c>
      <c r="D42">
        <f>IF(AIC!E32&gt;0,AIC!E32,"")</f>
        <v>19</v>
      </c>
      <c r="E42">
        <f>IF(AIC!F32&gt;0,AIC!F32,"")</f>
        <v>19</v>
      </c>
      <c r="F42">
        <f>IF(AIC!G32&gt;0,AIC!G32,"")</f>
        <v>19</v>
      </c>
    </row>
    <row r="43" spans="1:16" x14ac:dyDescent="0.2">
      <c r="A43" t="str">
        <f>IF(AIC!B33&gt;0,AIC!B33,"")</f>
        <v>Staff AVG</v>
      </c>
      <c r="B43">
        <f>IF(AIC!C33&gt;0,AIC!C33,"")</f>
        <v>20</v>
      </c>
      <c r="C43">
        <f>IF(AIC!D33&gt;0,AIC!D33,"")</f>
        <v>19</v>
      </c>
      <c r="D43">
        <f>IF(AIC!E33&gt;0,AIC!E33,"")</f>
        <v>19</v>
      </c>
      <c r="E43">
        <f>IF(AIC!F33&gt;0,AIC!F33,"")</f>
        <v>19</v>
      </c>
      <c r="F43">
        <f>IF(AIC!G33&gt;0,AIC!G33,"")</f>
        <v>19</v>
      </c>
    </row>
    <row r="44" spans="1:16" x14ac:dyDescent="0.2">
      <c r="A44" t="str">
        <f>IF(AIC!B34&gt;0,AIC!B34,"")</f>
        <v>Plan</v>
      </c>
      <c r="B44">
        <f>IF(AIC!C34&gt;0,AIC!C34,"")</f>
        <v>17</v>
      </c>
      <c r="C44">
        <f>IF(AIC!D34&gt;0,AIC!D34,"")</f>
        <v>18</v>
      </c>
      <c r="D44">
        <f>IF(AIC!E34&gt;0,AIC!E34,"")</f>
        <v>15</v>
      </c>
      <c r="E44">
        <f>IF(AIC!F34&gt;0,AIC!F34,"")</f>
        <v>14</v>
      </c>
      <c r="F44">
        <f>IF(AIC!G34&gt;0,AIC!G34,"")</f>
        <v>12</v>
      </c>
    </row>
    <row r="45" spans="1:16" x14ac:dyDescent="0.2">
      <c r="A45" t="str">
        <f>IF(AIC!B41&gt;0,AIC!B41,"")</f>
        <v>PAYROLL</v>
      </c>
      <c r="B45">
        <f>IF(AIC!C41&gt;0,AIC!C41,"")</f>
        <v>17</v>
      </c>
      <c r="C45">
        <f>IF(AIC!D41&gt;0,AIC!D41,"")</f>
        <v>18</v>
      </c>
      <c r="D45">
        <f>IF(AIC!E41&gt;0,AIC!E41,"")</f>
        <v>15</v>
      </c>
      <c r="E45">
        <f>IF(AIC!F41&gt;0,AIC!F41,"")</f>
        <v>14</v>
      </c>
      <c r="F45">
        <f>IF(AIC!G41&gt;0,AIC!G41,"")</f>
        <v>12</v>
      </c>
    </row>
    <row r="46" spans="1:16" x14ac:dyDescent="0.2">
      <c r="A46" t="str">
        <f>IF(AIC!B45&gt;0,AIC!B45,"")</f>
        <v>CONTRACTOR</v>
      </c>
      <c r="B46" t="str">
        <f>IF(AIC!C45&gt;0,AIC!C45,"")</f>
        <v/>
      </c>
      <c r="C46" t="str">
        <f>IF(AIC!D45&gt;0,AIC!D45,"")</f>
        <v/>
      </c>
      <c r="D46" t="str">
        <f>IF(AIC!E45&gt;0,AIC!E45,"")</f>
        <v/>
      </c>
      <c r="E46" t="str">
        <f>IF(AIC!F45&gt;0,AIC!F45,"")</f>
        <v/>
      </c>
      <c r="F46" t="str">
        <f>IF(AIC!G45&gt;0,AIC!G45,"")</f>
        <v/>
      </c>
    </row>
    <row r="47" spans="1:16" x14ac:dyDescent="0.2">
      <c r="A47" t="str">
        <f>IF(AIC!B49&gt;0,AIC!B49,"")</f>
        <v>OUTSOURCE</v>
      </c>
      <c r="B47" t="str">
        <f>IF(AIC!C49&gt;0,AIC!C49,"")</f>
        <v/>
      </c>
      <c r="C47" t="str">
        <f>IF(AIC!D49&gt;0,AIC!D49,"")</f>
        <v/>
      </c>
      <c r="D47" t="str">
        <f>IF(AIC!E49&gt;0,AIC!E49,"")</f>
        <v/>
      </c>
      <c r="E47" t="str">
        <f>IF(AIC!F49&gt;0,AIC!F49,"")</f>
        <v/>
      </c>
      <c r="F47" t="str">
        <f>IF(AIC!G49&gt;0,AIC!G49,"")</f>
        <v/>
      </c>
    </row>
    <row r="51" spans="1:16" x14ac:dyDescent="0.2">
      <c r="A51" t="str">
        <f>AIC!A64</f>
        <v>AI Research &amp; Alliance</v>
      </c>
      <c r="B51" t="str">
        <f>AIC!C$61</f>
        <v>JAN</v>
      </c>
      <c r="C51" t="str">
        <f>AIC!D$61</f>
        <v>FEB</v>
      </c>
      <c r="D51" t="str">
        <f>AIC!E$61</f>
        <v>MAR</v>
      </c>
      <c r="E51" t="str">
        <f>AIC!F$61</f>
        <v>APR</v>
      </c>
      <c r="F51" t="str">
        <f>AIC!G$61</f>
        <v>MAY</v>
      </c>
      <c r="G51" t="str">
        <f>AIC!H$61</f>
        <v>JUN</v>
      </c>
      <c r="H51" t="str">
        <f>AIC!I$61</f>
        <v>JUL</v>
      </c>
      <c r="I51" t="str">
        <f>AIC!J$61</f>
        <v>AUG</v>
      </c>
      <c r="J51" t="str">
        <f>AIC!K$61</f>
        <v>SEP</v>
      </c>
      <c r="K51" t="str">
        <f>AIC!L$61</f>
        <v>OCT</v>
      </c>
      <c r="L51" t="str">
        <f>AIC!M$61</f>
        <v>NOV</v>
      </c>
      <c r="M51" t="str">
        <f>AIC!N$61</f>
        <v>DEC</v>
      </c>
      <c r="N51" t="str">
        <f>AIC!O$61</f>
        <v>JAN'27</v>
      </c>
      <c r="O51" t="str">
        <f>AIC!P$61</f>
        <v>FEB'27</v>
      </c>
      <c r="P51" t="str">
        <f>AIC!Q$61</f>
        <v>MAR'27</v>
      </c>
    </row>
    <row r="52" spans="1:16" x14ac:dyDescent="0.2">
      <c r="A52" t="str">
        <f>IF(AIC!B64&gt;0,AIC!B64,"")</f>
        <v>Staff</v>
      </c>
      <c r="B52">
        <f>IF(AIC!C64&gt;0,AIC!C64,"")</f>
        <v>4</v>
      </c>
      <c r="C52">
        <f>IF(AIC!D64&gt;0,AIC!D64,"")</f>
        <v>4</v>
      </c>
      <c r="D52">
        <f>IF(AIC!E64&gt;0,AIC!E64,"")</f>
        <v>3</v>
      </c>
      <c r="E52">
        <f>IF(AIC!F64&gt;0,AIC!F64,"")</f>
        <v>3</v>
      </c>
      <c r="F52">
        <f>IF(AIC!G64&gt;0,AIC!G64,"")</f>
        <v>3</v>
      </c>
      <c r="G52">
        <f>IF(AIC!H64&gt;0,AIC!H64,"")</f>
        <v>3</v>
      </c>
      <c r="H52">
        <f>IF(AIC!I64&gt;0,AIC!I64,"")</f>
        <v>3</v>
      </c>
      <c r="I52">
        <f>IF(AIC!J64&gt;0,AIC!J64,"")</f>
        <v>3</v>
      </c>
      <c r="J52">
        <f>IF(AIC!K64&gt;0,AIC!K64,"")</f>
        <v>3</v>
      </c>
      <c r="K52">
        <f>IF(AIC!L64&gt;0,AIC!L64,"")</f>
        <v>3</v>
      </c>
      <c r="L52">
        <f>IF(AIC!M64&gt;0,AIC!M64,"")</f>
        <v>3</v>
      </c>
      <c r="M52">
        <f>IF(AIC!N64&gt;0,AIC!N64,"")</f>
        <v>3</v>
      </c>
      <c r="N52">
        <f>IF(AIC!O64&gt;0,AIC!O64,"")</f>
        <v>3</v>
      </c>
      <c r="O52">
        <f>IF(AIC!P64&gt;0,AIC!P64,"")</f>
        <v>3</v>
      </c>
      <c r="P52">
        <f>IF(AIC!Q64&gt;0,AIC!Q64,"")</f>
        <v>3</v>
      </c>
    </row>
    <row r="53" spans="1:16" x14ac:dyDescent="0.2">
      <c r="A53" t="str">
        <f>IF(AIC!B65&gt;0,AIC!B65,"")</f>
        <v>Plan</v>
      </c>
      <c r="B53">
        <f>IF(AIC!C65&gt;0,AIC!C65,"")</f>
        <v>2.8</v>
      </c>
      <c r="C53">
        <f>IF(AIC!D65&gt;0,AIC!D65,"")</f>
        <v>2.8</v>
      </c>
      <c r="D53">
        <f>IF(AIC!E65&gt;0,AIC!E65,"")</f>
        <v>2.8</v>
      </c>
      <c r="E53">
        <f>IF(AIC!F65&gt;0,AIC!F65,"")</f>
        <v>2.9</v>
      </c>
      <c r="F53">
        <f>IF(AIC!G65&gt;0,AIC!G65,"")</f>
        <v>2.9</v>
      </c>
      <c r="G53">
        <f>IF(AIC!H65&gt;0,AIC!H65,"")</f>
        <v>2.9</v>
      </c>
      <c r="H53">
        <f>IF(AIC!I65&gt;0,AIC!I65,"")</f>
        <v>2.9</v>
      </c>
      <c r="I53">
        <f>IF(AIC!J65&gt;0,AIC!J65,"")</f>
        <v>2.9</v>
      </c>
      <c r="J53">
        <f>IF(AIC!K65&gt;0,AIC!K65,"")</f>
        <v>2.9</v>
      </c>
      <c r="K53">
        <f>IF(AIC!L65&gt;0,AIC!L65,"")</f>
        <v>2.9</v>
      </c>
      <c r="L53">
        <f>IF(AIC!M65&gt;0,AIC!M65,"")</f>
        <v>2.9</v>
      </c>
      <c r="M53">
        <f>IF(AIC!N65&gt;0,AIC!N65,"")</f>
        <v>2.9</v>
      </c>
      <c r="N53">
        <f>IF(AIC!O65&gt;0,AIC!O65,"")</f>
        <v>2.9</v>
      </c>
      <c r="O53">
        <f>IF(AIC!P65&gt;0,AIC!P65,"")</f>
        <v>2.9</v>
      </c>
      <c r="P53">
        <f>IF(AIC!Q65&gt;0,AIC!Q65,"")</f>
        <v>2.9</v>
      </c>
    </row>
    <row r="61" spans="1:16" x14ac:dyDescent="0.2">
      <c r="A61" t="str">
        <f>AIC!A66</f>
        <v>AIET AI Engineering</v>
      </c>
      <c r="B61" t="str">
        <f>AIC!C$61</f>
        <v>JAN</v>
      </c>
      <c r="C61" t="str">
        <f>AIC!D$61</f>
        <v>FEB</v>
      </c>
      <c r="D61" t="str">
        <f>AIC!E$61</f>
        <v>MAR</v>
      </c>
      <c r="E61" t="str">
        <f>AIC!F$61</f>
        <v>APR</v>
      </c>
      <c r="F61" t="str">
        <f>AIC!G$61</f>
        <v>MAY</v>
      </c>
      <c r="G61" t="str">
        <f>AIC!H$61</f>
        <v>JUN</v>
      </c>
      <c r="H61" t="str">
        <f>AIC!I$61</f>
        <v>JUL</v>
      </c>
      <c r="I61" t="str">
        <f>AIC!J$61</f>
        <v>AUG</v>
      </c>
      <c r="J61" t="str">
        <f>AIC!K$61</f>
        <v>SEP</v>
      </c>
      <c r="K61" t="str">
        <f>AIC!L$61</f>
        <v>OCT</v>
      </c>
      <c r="L61" t="str">
        <f>AIC!M$61</f>
        <v>NOV</v>
      </c>
      <c r="M61" t="str">
        <f>AIC!N$61</f>
        <v>DEC</v>
      </c>
      <c r="N61" t="str">
        <f>AIC!O$61</f>
        <v>JAN'27</v>
      </c>
      <c r="O61" t="str">
        <f>AIC!P$61</f>
        <v>FEB'27</v>
      </c>
      <c r="P61" t="str">
        <f>AIC!Q$61</f>
        <v>MAR'27</v>
      </c>
    </row>
    <row r="62" spans="1:16" x14ac:dyDescent="0.2">
      <c r="A62" t="str">
        <f>AIC!B66</f>
        <v>Staff</v>
      </c>
      <c r="B62">
        <f>AIC!C66</f>
        <v>8</v>
      </c>
      <c r="C62">
        <f>AIC!D66</f>
        <v>8</v>
      </c>
      <c r="D62">
        <f>AIC!E66</f>
        <v>8</v>
      </c>
      <c r="E62">
        <f>AIC!F66</f>
        <v>8</v>
      </c>
      <c r="F62">
        <f>AIC!G66</f>
        <v>8</v>
      </c>
      <c r="G62">
        <f>AIC!H66</f>
        <v>8</v>
      </c>
      <c r="H62">
        <f>AIC!I66</f>
        <v>8</v>
      </c>
      <c r="I62">
        <f>AIC!J66</f>
        <v>8</v>
      </c>
      <c r="J62">
        <f>AIC!K66</f>
        <v>8</v>
      </c>
      <c r="K62">
        <f>AIC!L66</f>
        <v>8</v>
      </c>
      <c r="L62">
        <f>AIC!M66</f>
        <v>8</v>
      </c>
      <c r="M62">
        <f>AIC!N66</f>
        <v>8</v>
      </c>
      <c r="N62">
        <f>AIC!O66</f>
        <v>8</v>
      </c>
      <c r="O62">
        <f>AIC!P66</f>
        <v>8</v>
      </c>
      <c r="P62">
        <f>AIC!Q66</f>
        <v>8</v>
      </c>
    </row>
    <row r="63" spans="1:16" x14ac:dyDescent="0.2">
      <c r="A63" t="str">
        <f>AIC!B67</f>
        <v>Plan</v>
      </c>
      <c r="B63">
        <f>AIC!C67</f>
        <v>5.2125000000000004</v>
      </c>
      <c r="C63">
        <f>AIC!D67</f>
        <v>6.2406249999999996</v>
      </c>
      <c r="D63">
        <f>AIC!E67</f>
        <v>6.140625</v>
      </c>
      <c r="E63">
        <f>AIC!F67</f>
        <v>7.0131249999999996</v>
      </c>
      <c r="F63">
        <f>AIC!G67</f>
        <v>7.0881249999999998</v>
      </c>
      <c r="G63">
        <f>AIC!H67</f>
        <v>6.9881250000000001</v>
      </c>
      <c r="H63">
        <f>AIC!I67</f>
        <v>5.3475000000000001</v>
      </c>
      <c r="I63">
        <f>AIC!J67</f>
        <v>5.1475</v>
      </c>
      <c r="J63">
        <f>AIC!K67</f>
        <v>5.1475</v>
      </c>
      <c r="K63">
        <f>AIC!L67</f>
        <v>4.1100000000000003</v>
      </c>
      <c r="L63">
        <f>AIC!M67</f>
        <v>4.1100000000000003</v>
      </c>
      <c r="M63">
        <f>AIC!N67</f>
        <v>4.1100000000000003</v>
      </c>
      <c r="N63">
        <f>AIC!O67</f>
        <v>3.6850000000000001</v>
      </c>
      <c r="O63">
        <f>AIC!P67</f>
        <v>3.6850000000000001</v>
      </c>
      <c r="P63">
        <f>AIC!Q67</f>
        <v>3.6850000000000001</v>
      </c>
    </row>
    <row r="71" spans="1:16" x14ac:dyDescent="0.2">
      <c r="A71" t="str">
        <f>AIC!A68</f>
        <v>AIET IoT Engineering</v>
      </c>
      <c r="B71" t="str">
        <f>AIC!C$61</f>
        <v>JAN</v>
      </c>
      <c r="C71" t="str">
        <f>AIC!D$61</f>
        <v>FEB</v>
      </c>
      <c r="D71" t="str">
        <f>AIC!E$61</f>
        <v>MAR</v>
      </c>
      <c r="E71" t="str">
        <f>AIC!F$61</f>
        <v>APR</v>
      </c>
      <c r="F71" t="str">
        <f>AIC!G$61</f>
        <v>MAY</v>
      </c>
      <c r="G71" t="str">
        <f>AIC!H$61</f>
        <v>JUN</v>
      </c>
      <c r="H71" t="str">
        <f>AIC!I$61</f>
        <v>JUL</v>
      </c>
      <c r="I71" t="str">
        <f>AIC!J$61</f>
        <v>AUG</v>
      </c>
      <c r="J71" t="str">
        <f>AIC!K$61</f>
        <v>SEP</v>
      </c>
      <c r="K71" t="str">
        <f>AIC!L$61</f>
        <v>OCT</v>
      </c>
      <c r="L71" t="str">
        <f>AIC!M$61</f>
        <v>NOV</v>
      </c>
      <c r="M71" t="str">
        <f>AIC!N$61</f>
        <v>DEC</v>
      </c>
      <c r="N71" t="str">
        <f>AIC!O$61</f>
        <v>JAN'27</v>
      </c>
      <c r="O71" t="str">
        <f>AIC!P$61</f>
        <v>FEB'27</v>
      </c>
      <c r="P71" t="str">
        <f>AIC!Q$61</f>
        <v>MAR'27</v>
      </c>
    </row>
    <row r="72" spans="1:16" x14ac:dyDescent="0.2">
      <c r="A72" t="str">
        <f>AIC!B68</f>
        <v>Staff</v>
      </c>
      <c r="B72">
        <f>AIC!C68</f>
        <v>7</v>
      </c>
      <c r="C72">
        <f>AIC!D68</f>
        <v>6</v>
      </c>
      <c r="D72">
        <f>AIC!E68</f>
        <v>6</v>
      </c>
      <c r="E72">
        <f>AIC!F68</f>
        <v>6</v>
      </c>
      <c r="F72">
        <f>AIC!G68</f>
        <v>6</v>
      </c>
      <c r="G72">
        <f>AIC!H68</f>
        <v>6</v>
      </c>
      <c r="H72">
        <f>AIC!I68</f>
        <v>5</v>
      </c>
      <c r="I72">
        <f>AIC!J68</f>
        <v>5</v>
      </c>
      <c r="J72">
        <f>AIC!K68</f>
        <v>5</v>
      </c>
      <c r="K72">
        <f>AIC!L68</f>
        <v>5</v>
      </c>
      <c r="L72">
        <f>AIC!M68</f>
        <v>5</v>
      </c>
      <c r="M72">
        <f>AIC!N68</f>
        <v>5</v>
      </c>
      <c r="N72">
        <f>AIC!O68</f>
        <v>5</v>
      </c>
      <c r="O72">
        <f>AIC!P68</f>
        <v>5</v>
      </c>
      <c r="P72">
        <f>AIC!Q68</f>
        <v>5</v>
      </c>
    </row>
    <row r="73" spans="1:16" x14ac:dyDescent="0.2">
      <c r="A73" t="str">
        <f>AIC!B69</f>
        <v>Plan</v>
      </c>
      <c r="B73">
        <f>AIC!C69</f>
        <v>4.2</v>
      </c>
      <c r="C73">
        <f>AIC!D69</f>
        <v>4.5</v>
      </c>
      <c r="D73">
        <f>AIC!E69</f>
        <v>4.1500000000000004</v>
      </c>
      <c r="E73">
        <f>AIC!F69</f>
        <v>5.05</v>
      </c>
      <c r="F73">
        <f>AIC!G69</f>
        <v>5.3</v>
      </c>
      <c r="G73">
        <f>AIC!H69</f>
        <v>4.95</v>
      </c>
      <c r="H73">
        <f>AIC!I69</f>
        <v>4.45</v>
      </c>
      <c r="I73">
        <f>AIC!J69</f>
        <v>3.8</v>
      </c>
      <c r="J73">
        <f>AIC!K69</f>
        <v>3.75</v>
      </c>
      <c r="K73">
        <f>AIC!L69</f>
        <v>3.7</v>
      </c>
      <c r="L73">
        <f>AIC!M69</f>
        <v>3.7</v>
      </c>
      <c r="M73">
        <f>AIC!N69</f>
        <v>3.7</v>
      </c>
      <c r="N73">
        <f>AIC!O69</f>
        <v>1.4</v>
      </c>
      <c r="O73">
        <f>AIC!P69</f>
        <v>1.4</v>
      </c>
      <c r="P73">
        <f>AIC!Q69</f>
        <v>1.4</v>
      </c>
    </row>
    <row r="81" spans="1:16" x14ac:dyDescent="0.2">
      <c r="A81" t="str">
        <f>AIC!A70</f>
        <v>AIET Spatial AI Engineering</v>
      </c>
      <c r="B81" t="str">
        <f>AIC!C$61</f>
        <v>JAN</v>
      </c>
      <c r="C81" t="str">
        <f>AIC!D$61</f>
        <v>FEB</v>
      </c>
      <c r="D81" t="str">
        <f>AIC!E$61</f>
        <v>MAR</v>
      </c>
      <c r="E81" t="str">
        <f>AIC!F$61</f>
        <v>APR</v>
      </c>
      <c r="F81" t="str">
        <f>AIC!G$61</f>
        <v>MAY</v>
      </c>
      <c r="G81" t="str">
        <f>AIC!H$61</f>
        <v>JUN</v>
      </c>
      <c r="H81" t="str">
        <f>AIC!I$61</f>
        <v>JUL</v>
      </c>
      <c r="I81" t="str">
        <f>AIC!J$61</f>
        <v>AUG</v>
      </c>
      <c r="J81" t="str">
        <f>AIC!K$61</f>
        <v>SEP</v>
      </c>
      <c r="K81" t="str">
        <f>AIC!L$61</f>
        <v>OCT</v>
      </c>
      <c r="L81" t="str">
        <f>AIC!M$61</f>
        <v>NOV</v>
      </c>
      <c r="M81" t="str">
        <f>AIC!N$61</f>
        <v>DEC</v>
      </c>
      <c r="N81" t="str">
        <f>AIC!O$61</f>
        <v>JAN'27</v>
      </c>
      <c r="O81" t="str">
        <f>AIC!P$61</f>
        <v>FEB'27</v>
      </c>
      <c r="P81" t="str">
        <f>AIC!Q$61</f>
        <v>MAR'27</v>
      </c>
    </row>
    <row r="82" spans="1:16" x14ac:dyDescent="0.2">
      <c r="A82" t="str">
        <f>AIC!B70</f>
        <v>Staff</v>
      </c>
      <c r="B82">
        <f>AIC!C70</f>
        <v>4</v>
      </c>
      <c r="C82">
        <f>AIC!D70</f>
        <v>4</v>
      </c>
      <c r="D82">
        <f>AIC!E70</f>
        <v>4</v>
      </c>
      <c r="E82">
        <f>AIC!F70</f>
        <v>4</v>
      </c>
      <c r="F82">
        <f>AIC!G70</f>
        <v>3</v>
      </c>
      <c r="G82">
        <f>AIC!H70</f>
        <v>3</v>
      </c>
      <c r="H82">
        <f>AIC!I70</f>
        <v>3</v>
      </c>
      <c r="I82">
        <f>AIC!J70</f>
        <v>3</v>
      </c>
      <c r="J82">
        <f>AIC!K70</f>
        <v>3</v>
      </c>
      <c r="K82">
        <f>AIC!L70</f>
        <v>3</v>
      </c>
      <c r="L82">
        <f>AIC!M70</f>
        <v>3</v>
      </c>
      <c r="M82">
        <f>AIC!N70</f>
        <v>3</v>
      </c>
      <c r="N82">
        <f>AIC!O70</f>
        <v>3</v>
      </c>
      <c r="O82">
        <f>AIC!P70</f>
        <v>3</v>
      </c>
      <c r="P82">
        <f>AIC!Q70</f>
        <v>3</v>
      </c>
    </row>
    <row r="83" spans="1:16" x14ac:dyDescent="0.2">
      <c r="A83" t="str">
        <f>AIC!B71</f>
        <v>Plan</v>
      </c>
      <c r="B83">
        <f>AIC!C71</f>
        <v>3.1</v>
      </c>
      <c r="C83">
        <f>AIC!D71</f>
        <v>3.2</v>
      </c>
      <c r="D83">
        <f>AIC!E71</f>
        <v>2.9874999999999998</v>
      </c>
      <c r="E83">
        <f>AIC!F71</f>
        <v>3.6</v>
      </c>
      <c r="F83">
        <f>AIC!G71</f>
        <v>3.105</v>
      </c>
      <c r="G83">
        <f>AIC!H71</f>
        <v>3.125</v>
      </c>
      <c r="H83">
        <f>AIC!I71</f>
        <v>3.125</v>
      </c>
      <c r="I83">
        <f>AIC!J71</f>
        <v>3.125</v>
      </c>
      <c r="J83">
        <f>AIC!K71</f>
        <v>2.5750000000000002</v>
      </c>
      <c r="K83">
        <f>AIC!L71</f>
        <v>2.875</v>
      </c>
      <c r="L83">
        <f>AIC!M71</f>
        <v>2.9249999999999998</v>
      </c>
      <c r="M83">
        <f>AIC!N71</f>
        <v>2.625</v>
      </c>
      <c r="N83">
        <f>AIC!O71</f>
        <v>0.4</v>
      </c>
      <c r="O83">
        <f>AIC!P71</f>
        <v>0.4</v>
      </c>
      <c r="P83">
        <f>AIC!Q71</f>
        <v>0.4</v>
      </c>
    </row>
    <row r="91" spans="1:16" x14ac:dyDescent="0.2">
      <c r="A91" t="str">
        <f>AIC!A72</f>
        <v>Product Innovation</v>
      </c>
      <c r="B91" t="str">
        <f>AIC!C$61</f>
        <v>JAN</v>
      </c>
      <c r="C91" t="str">
        <f>AIC!D$61</f>
        <v>FEB</v>
      </c>
      <c r="D91" t="str">
        <f>AIC!E$61</f>
        <v>MAR</v>
      </c>
      <c r="E91" t="str">
        <f>AIC!F$61</f>
        <v>APR</v>
      </c>
      <c r="F91" t="str">
        <f>AIC!G$61</f>
        <v>MAY</v>
      </c>
      <c r="G91" t="str">
        <f>AIC!H$61</f>
        <v>JUN</v>
      </c>
      <c r="H91" t="str">
        <f>AIC!I$61</f>
        <v>JUL</v>
      </c>
      <c r="I91" t="str">
        <f>AIC!J$61</f>
        <v>AUG</v>
      </c>
      <c r="J91" t="str">
        <f>AIC!K$61</f>
        <v>SEP</v>
      </c>
      <c r="K91" t="str">
        <f>AIC!L$61</f>
        <v>OCT</v>
      </c>
      <c r="L91" t="str">
        <f>AIC!M$61</f>
        <v>NOV</v>
      </c>
      <c r="M91" t="str">
        <f>AIC!N$61</f>
        <v>DEC</v>
      </c>
      <c r="N91" t="str">
        <f>AIC!O$61</f>
        <v>JAN'27</v>
      </c>
      <c r="O91" t="str">
        <f>AIC!P$61</f>
        <v>FEB'27</v>
      </c>
      <c r="P91" t="str">
        <f>AIC!Q$61</f>
        <v>MAR'27</v>
      </c>
    </row>
    <row r="92" spans="1:16" x14ac:dyDescent="0.2">
      <c r="A92" t="str">
        <f>AIC!B72</f>
        <v>Staff</v>
      </c>
      <c r="B92">
        <f>AIC!C72</f>
        <v>1</v>
      </c>
      <c r="C92">
        <f>AIC!D72</f>
        <v>1</v>
      </c>
      <c r="D92">
        <f>AIC!E72</f>
        <v>1</v>
      </c>
      <c r="E92">
        <f>AIC!F72</f>
        <v>0</v>
      </c>
      <c r="F92">
        <f>AIC!G72</f>
        <v>0</v>
      </c>
      <c r="G92">
        <f>AIC!H72</f>
        <v>0</v>
      </c>
      <c r="H92">
        <f>AIC!I72</f>
        <v>0</v>
      </c>
      <c r="I92">
        <f>AIC!J72</f>
        <v>0</v>
      </c>
      <c r="J92">
        <f>AIC!K72</f>
        <v>0</v>
      </c>
      <c r="K92">
        <f>AIC!L72</f>
        <v>0</v>
      </c>
      <c r="L92">
        <f>AIC!M72</f>
        <v>0</v>
      </c>
      <c r="M92">
        <f>AIC!N72</f>
        <v>0</v>
      </c>
      <c r="N92">
        <f>AIC!O72</f>
        <v>0</v>
      </c>
      <c r="O92">
        <f>AIC!P72</f>
        <v>0</v>
      </c>
      <c r="P92">
        <f>AIC!Q72</f>
        <v>0</v>
      </c>
    </row>
    <row r="93" spans="1:16" x14ac:dyDescent="0.2">
      <c r="A93" t="str">
        <f>AIC!B73</f>
        <v>Plan</v>
      </c>
      <c r="B93">
        <f>AIC!C73</f>
        <v>0.6</v>
      </c>
      <c r="C93">
        <f>AIC!D73</f>
        <v>0.6</v>
      </c>
      <c r="D93">
        <f>AIC!E73</f>
        <v>0.4</v>
      </c>
      <c r="E93">
        <f>AIC!F73</f>
        <v>0</v>
      </c>
      <c r="F93">
        <f>AIC!G73</f>
        <v>0</v>
      </c>
      <c r="G93">
        <f>AIC!H73</f>
        <v>0</v>
      </c>
      <c r="H93">
        <f>AIC!I73</f>
        <v>0</v>
      </c>
      <c r="I93">
        <f>AIC!J73</f>
        <v>0</v>
      </c>
      <c r="J93">
        <f>AIC!K73</f>
        <v>0</v>
      </c>
      <c r="K93">
        <f>AIC!L73</f>
        <v>0</v>
      </c>
      <c r="L93">
        <f>AIC!M73</f>
        <v>0</v>
      </c>
      <c r="M93">
        <f>AIC!N73</f>
        <v>0</v>
      </c>
      <c r="N93">
        <f>AIC!O73</f>
        <v>0</v>
      </c>
      <c r="O93">
        <f>AIC!P73</f>
        <v>0</v>
      </c>
      <c r="P93">
        <f>AIC!Q73</f>
        <v>0</v>
      </c>
    </row>
    <row r="151" spans="1:16" x14ac:dyDescent="0.2">
      <c r="B151" t="str">
        <f>AIC!C1</f>
        <v>JAN</v>
      </c>
      <c r="C151" t="str">
        <f>AIC!D1</f>
        <v>FEB</v>
      </c>
      <c r="D151" t="str">
        <f>AIC!E1</f>
        <v>MAR</v>
      </c>
      <c r="E151" t="str">
        <f>AIC!F1</f>
        <v>APR</v>
      </c>
      <c r="F151" t="str">
        <f>AIC!G1</f>
        <v>MAY</v>
      </c>
      <c r="G151" t="str">
        <f>AIC!H1</f>
        <v>JUN</v>
      </c>
      <c r="H151" t="str">
        <f>AIC!I1</f>
        <v>JUL</v>
      </c>
      <c r="I151" t="str">
        <f>AIC!J1</f>
        <v>AUG</v>
      </c>
      <c r="J151" t="str">
        <f>AIC!K1</f>
        <v>SEP</v>
      </c>
      <c r="K151" t="str">
        <f>AIC!L1</f>
        <v>OCT</v>
      </c>
      <c r="L151" t="str">
        <f>AIC!M1</f>
        <v>NOV</v>
      </c>
      <c r="M151" t="str">
        <f>AIC!N1</f>
        <v>DEC</v>
      </c>
      <c r="N151" t="str">
        <f>AIC!O1</f>
        <v>JAN'27</v>
      </c>
      <c r="O151" t="str">
        <f>AIC!P1</f>
        <v>FEB'27</v>
      </c>
      <c r="P151" t="str">
        <f>AIC!Q1</f>
        <v>MAR'27</v>
      </c>
    </row>
    <row r="152" spans="1:16" x14ac:dyDescent="0.2">
      <c r="A152" t="str">
        <f>AIC!B6</f>
        <v>% Plan</v>
      </c>
      <c r="B152" s="62">
        <f>AIC!C6</f>
        <v>0.66300000000000003</v>
      </c>
      <c r="C152" s="62">
        <f>AIC!D6</f>
        <v>0.75390000000000001</v>
      </c>
      <c r="D152" s="62">
        <f>AIC!E6</f>
        <v>0.749</v>
      </c>
      <c r="E152" s="62">
        <f>AIC!F6</f>
        <v>0.88400000000000001</v>
      </c>
      <c r="F152" s="62">
        <f>AIC!G6</f>
        <v>0.91969999999999996</v>
      </c>
      <c r="G152" s="62">
        <f>AIC!H6</f>
        <v>0.8982</v>
      </c>
      <c r="H152" s="62">
        <f>AIC!I6</f>
        <v>0.83279999999999998</v>
      </c>
      <c r="I152" s="62">
        <f>AIC!J6</f>
        <v>0.78800000000000003</v>
      </c>
      <c r="J152" s="62">
        <f>AIC!K6</f>
        <v>0.75639999999999996</v>
      </c>
      <c r="K152" s="62">
        <f>AIC!L6</f>
        <v>0.71499999999999997</v>
      </c>
      <c r="L152" s="62">
        <f>AIC!M6</f>
        <v>0.71760000000000002</v>
      </c>
      <c r="M152" s="62">
        <f>AIC!N6</f>
        <v>0.70179999999999998</v>
      </c>
      <c r="N152" s="62">
        <f>AIC!O6</f>
        <v>0.44130000000000003</v>
      </c>
      <c r="O152" s="62">
        <f>AIC!P6</f>
        <v>0.44130000000000003</v>
      </c>
      <c r="P152" s="62">
        <f>AIC!Q6</f>
        <v>0.44130000000000003</v>
      </c>
    </row>
    <row r="153" spans="1:16" x14ac:dyDescent="0.2">
      <c r="A153" t="str">
        <f>AIC!B7</f>
        <v>Available FTE</v>
      </c>
      <c r="B153">
        <f>AIC!C7</f>
        <v>8</v>
      </c>
      <c r="C153">
        <f>AIC!D7</f>
        <v>6</v>
      </c>
      <c r="D153">
        <f>AIC!E7</f>
        <v>6</v>
      </c>
      <c r="E153">
        <f>AIC!F7</f>
        <v>2</v>
      </c>
      <c r="F153">
        <f>AIC!G7</f>
        <v>2</v>
      </c>
      <c r="G153">
        <f>AIC!H7</f>
        <v>2</v>
      </c>
      <c r="H153">
        <f>AIC!I7</f>
        <v>3</v>
      </c>
      <c r="I153">
        <f>AIC!J7</f>
        <v>4</v>
      </c>
      <c r="J153">
        <f>AIC!K7</f>
        <v>5</v>
      </c>
      <c r="K153">
        <f>AIC!L7</f>
        <v>5</v>
      </c>
      <c r="L153">
        <f>AIC!M7</f>
        <v>5</v>
      </c>
      <c r="M153">
        <f>AIC!N7</f>
        <v>6</v>
      </c>
      <c r="N153">
        <f>AIC!O7</f>
        <v>11</v>
      </c>
      <c r="O153">
        <f>AIC!P7</f>
        <v>11</v>
      </c>
      <c r="P153">
        <f>AIC!Q7</f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C198-0F99-6748-AF46-FB3CC9A0A00A}">
  <sheetPr>
    <tabColor theme="3"/>
  </sheetPr>
  <dimension ref="A1:Q81"/>
  <sheetViews>
    <sheetView topLeftCell="A54" workbookViewId="0">
      <selection activeCell="C3" sqref="C3:Q3"/>
    </sheetView>
  </sheetViews>
  <sheetFormatPr baseColWidth="10" defaultRowHeight="16" x14ac:dyDescent="0.2"/>
  <sheetData>
    <row r="1" spans="1:17" x14ac:dyDescent="0.2">
      <c r="A1" s="17"/>
      <c r="B1" s="1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4" t="s">
        <v>8</v>
      </c>
      <c r="K1" s="4" t="s">
        <v>9</v>
      </c>
      <c r="L1" s="5" t="s">
        <v>10</v>
      </c>
      <c r="M1" s="5" t="s">
        <v>11</v>
      </c>
      <c r="N1" s="5" t="s">
        <v>12</v>
      </c>
      <c r="O1" s="6" t="s">
        <v>13</v>
      </c>
      <c r="P1" s="6" t="s">
        <v>14</v>
      </c>
      <c r="Q1" s="6" t="s">
        <v>15</v>
      </c>
    </row>
    <row r="2" spans="1:17" x14ac:dyDescent="0.2">
      <c r="A2" s="11" t="s">
        <v>77</v>
      </c>
      <c r="B2" s="7" t="s">
        <v>16</v>
      </c>
      <c r="C2" s="8">
        <v>15</v>
      </c>
      <c r="D2" s="8">
        <v>15</v>
      </c>
      <c r="E2" s="8">
        <v>15</v>
      </c>
      <c r="F2" s="8">
        <v>16</v>
      </c>
      <c r="G2" s="8">
        <v>16</v>
      </c>
      <c r="H2" s="8">
        <v>16</v>
      </c>
      <c r="I2" s="8">
        <v>16</v>
      </c>
      <c r="J2" s="8">
        <v>16</v>
      </c>
      <c r="K2" s="8">
        <v>16</v>
      </c>
      <c r="L2" s="8">
        <v>16</v>
      </c>
      <c r="M2" s="8">
        <v>16</v>
      </c>
      <c r="N2" s="8">
        <v>16</v>
      </c>
      <c r="O2" s="8">
        <v>16</v>
      </c>
      <c r="P2" s="8">
        <v>16</v>
      </c>
      <c r="Q2" s="8">
        <v>16</v>
      </c>
    </row>
    <row r="3" spans="1:17" x14ac:dyDescent="0.2">
      <c r="A3" s="12" t="s">
        <v>77</v>
      </c>
      <c r="B3" s="9" t="s">
        <v>17</v>
      </c>
      <c r="C3" s="8">
        <v>16</v>
      </c>
      <c r="D3" s="8">
        <v>16</v>
      </c>
      <c r="E3" s="8">
        <v>16</v>
      </c>
      <c r="F3" s="8">
        <v>16</v>
      </c>
      <c r="G3" s="8">
        <v>16</v>
      </c>
      <c r="H3" s="8">
        <v>16</v>
      </c>
      <c r="I3" s="8">
        <v>16</v>
      </c>
      <c r="J3" s="8">
        <v>16</v>
      </c>
      <c r="K3" s="8">
        <v>16</v>
      </c>
      <c r="L3" s="8">
        <v>16</v>
      </c>
      <c r="M3" s="8">
        <v>16</v>
      </c>
      <c r="N3" s="8">
        <v>16</v>
      </c>
      <c r="O3" s="8">
        <v>16</v>
      </c>
      <c r="P3" s="8">
        <v>16</v>
      </c>
      <c r="Q3" s="8">
        <v>16</v>
      </c>
    </row>
    <row r="4" spans="1:17" x14ac:dyDescent="0.2">
      <c r="A4" s="13" t="s">
        <v>77</v>
      </c>
      <c r="B4" s="10" t="s">
        <v>18</v>
      </c>
      <c r="C4" s="8">
        <v>15</v>
      </c>
      <c r="D4" s="8">
        <v>15</v>
      </c>
      <c r="E4" s="8">
        <v>15</v>
      </c>
      <c r="F4" s="8">
        <v>16</v>
      </c>
      <c r="G4" s="8">
        <v>16</v>
      </c>
      <c r="H4" s="8">
        <v>16</v>
      </c>
      <c r="I4" s="8">
        <v>16</v>
      </c>
      <c r="J4" s="8">
        <v>16</v>
      </c>
      <c r="K4" s="8">
        <v>16</v>
      </c>
      <c r="L4" s="8">
        <v>16</v>
      </c>
      <c r="M4" s="8">
        <v>16</v>
      </c>
      <c r="N4" s="8">
        <v>16</v>
      </c>
      <c r="O4" s="8">
        <v>16</v>
      </c>
      <c r="P4" s="8">
        <v>16</v>
      </c>
      <c r="Q4" s="8">
        <v>16</v>
      </c>
    </row>
    <row r="5" spans="1:17" x14ac:dyDescent="0.2">
      <c r="A5" s="17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">
      <c r="A6" s="8"/>
      <c r="B6" s="18" t="s">
        <v>23</v>
      </c>
      <c r="C6" s="19">
        <v>1</v>
      </c>
      <c r="D6" s="19">
        <v>1</v>
      </c>
      <c r="E6" s="19">
        <v>1</v>
      </c>
      <c r="F6" s="19">
        <v>1</v>
      </c>
      <c r="G6" s="19">
        <v>1</v>
      </c>
      <c r="H6" s="19">
        <v>1</v>
      </c>
      <c r="I6" s="19">
        <v>1</v>
      </c>
      <c r="J6" s="19">
        <v>1</v>
      </c>
      <c r="K6" s="19">
        <v>1</v>
      </c>
      <c r="L6" s="19">
        <v>1</v>
      </c>
      <c r="M6" s="19">
        <v>1</v>
      </c>
      <c r="N6" s="19">
        <v>1</v>
      </c>
      <c r="O6" s="19">
        <v>1</v>
      </c>
      <c r="P6" s="19">
        <v>1</v>
      </c>
      <c r="Q6" s="19">
        <v>1</v>
      </c>
    </row>
    <row r="7" spans="1:17" x14ac:dyDescent="0.2">
      <c r="A7" s="17"/>
      <c r="B7" s="18" t="s">
        <v>24</v>
      </c>
      <c r="C7" s="20">
        <v>0</v>
      </c>
      <c r="D7" s="20">
        <v>0</v>
      </c>
      <c r="E7" s="20">
        <v>0</v>
      </c>
      <c r="F7" s="20">
        <v>0</v>
      </c>
      <c r="G7" s="20">
        <v>0</v>
      </c>
      <c r="H7" s="20">
        <v>0</v>
      </c>
      <c r="I7" s="20">
        <v>0</v>
      </c>
      <c r="J7" s="20">
        <v>0</v>
      </c>
      <c r="K7" s="20">
        <v>0</v>
      </c>
      <c r="L7" s="20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</row>
    <row r="8" spans="1:17" x14ac:dyDescent="0.2">
      <c r="A8" s="17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">
      <c r="A9" s="15" t="s">
        <v>16</v>
      </c>
      <c r="B9" s="11" t="s">
        <v>19</v>
      </c>
      <c r="C9" s="8">
        <v>13</v>
      </c>
      <c r="D9" s="8">
        <v>13</v>
      </c>
      <c r="E9" s="8">
        <v>13</v>
      </c>
      <c r="F9" s="8">
        <v>14</v>
      </c>
      <c r="G9" s="8">
        <v>14</v>
      </c>
      <c r="H9" s="8">
        <v>14</v>
      </c>
      <c r="I9" s="8">
        <v>14</v>
      </c>
      <c r="J9" s="8">
        <v>14</v>
      </c>
      <c r="K9" s="8">
        <v>14</v>
      </c>
      <c r="L9" s="8">
        <v>14</v>
      </c>
      <c r="M9" s="8">
        <v>14</v>
      </c>
      <c r="N9" s="8">
        <v>14</v>
      </c>
      <c r="O9" s="8">
        <v>14</v>
      </c>
      <c r="P9" s="8">
        <v>14</v>
      </c>
      <c r="Q9" s="8">
        <v>14</v>
      </c>
    </row>
    <row r="10" spans="1:17" x14ac:dyDescent="0.2">
      <c r="A10" s="9" t="s">
        <v>17</v>
      </c>
      <c r="B10" s="12" t="s">
        <v>19</v>
      </c>
      <c r="C10" s="8">
        <v>14</v>
      </c>
      <c r="D10" s="8">
        <v>14</v>
      </c>
      <c r="E10" s="8">
        <v>14</v>
      </c>
      <c r="F10" s="8">
        <v>14</v>
      </c>
      <c r="G10" s="8">
        <v>14</v>
      </c>
      <c r="H10" s="8">
        <v>14</v>
      </c>
      <c r="I10" s="8">
        <v>14</v>
      </c>
      <c r="J10" s="8">
        <v>14</v>
      </c>
      <c r="K10" s="8">
        <v>14</v>
      </c>
      <c r="L10" s="8">
        <v>14</v>
      </c>
      <c r="M10" s="8">
        <v>14</v>
      </c>
      <c r="N10" s="8">
        <v>14</v>
      </c>
      <c r="O10" s="8">
        <v>14</v>
      </c>
      <c r="P10" s="8">
        <v>14</v>
      </c>
      <c r="Q10" s="8">
        <v>14</v>
      </c>
    </row>
    <row r="11" spans="1:17" x14ac:dyDescent="0.2">
      <c r="A11" s="16" t="s">
        <v>18</v>
      </c>
      <c r="B11" s="13" t="s">
        <v>19</v>
      </c>
      <c r="C11" s="8">
        <v>13</v>
      </c>
      <c r="D11" s="8">
        <v>13</v>
      </c>
      <c r="E11" s="8">
        <v>13</v>
      </c>
      <c r="F11" s="8">
        <v>14</v>
      </c>
      <c r="G11" s="8">
        <v>14</v>
      </c>
      <c r="H11" s="8">
        <v>14</v>
      </c>
      <c r="I11" s="8">
        <v>14</v>
      </c>
      <c r="J11" s="8">
        <v>14</v>
      </c>
      <c r="K11" s="8">
        <v>14</v>
      </c>
      <c r="L11" s="8">
        <v>14</v>
      </c>
      <c r="M11" s="8">
        <v>14</v>
      </c>
      <c r="N11" s="8">
        <v>14</v>
      </c>
      <c r="O11" s="8">
        <v>14</v>
      </c>
      <c r="P11" s="8">
        <v>14</v>
      </c>
      <c r="Q11" s="8">
        <v>14</v>
      </c>
    </row>
    <row r="12" spans="1:17" x14ac:dyDescent="0.2">
      <c r="A12" s="8"/>
      <c r="B12" s="17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 x14ac:dyDescent="0.2">
      <c r="A13" s="15" t="s">
        <v>16</v>
      </c>
      <c r="B13" s="11" t="s">
        <v>20</v>
      </c>
      <c r="C13" s="8">
        <v>2</v>
      </c>
      <c r="D13" s="8">
        <v>2</v>
      </c>
      <c r="E13" s="8">
        <v>2</v>
      </c>
      <c r="F13" s="8">
        <v>2</v>
      </c>
      <c r="G13" s="8">
        <v>2</v>
      </c>
      <c r="H13" s="8">
        <v>2</v>
      </c>
      <c r="I13" s="8">
        <v>2</v>
      </c>
      <c r="J13" s="8">
        <v>2</v>
      </c>
      <c r="K13" s="8">
        <v>2</v>
      </c>
      <c r="L13" s="8">
        <v>2</v>
      </c>
      <c r="M13" s="8">
        <v>2</v>
      </c>
      <c r="N13" s="8">
        <v>2</v>
      </c>
      <c r="O13" s="8">
        <v>2</v>
      </c>
      <c r="P13" s="8">
        <v>2</v>
      </c>
      <c r="Q13" s="8">
        <v>2</v>
      </c>
    </row>
    <row r="14" spans="1:17" x14ac:dyDescent="0.2">
      <c r="A14" s="9" t="s">
        <v>17</v>
      </c>
      <c r="B14" s="12" t="s">
        <v>20</v>
      </c>
      <c r="C14" s="8">
        <v>2</v>
      </c>
      <c r="D14" s="8">
        <v>2</v>
      </c>
      <c r="E14" s="8">
        <v>2</v>
      </c>
      <c r="F14" s="8">
        <v>2</v>
      </c>
      <c r="G14" s="8">
        <v>2</v>
      </c>
      <c r="H14" s="8">
        <v>2</v>
      </c>
      <c r="I14" s="8">
        <v>2</v>
      </c>
      <c r="J14" s="8">
        <v>2</v>
      </c>
      <c r="K14" s="8">
        <v>2</v>
      </c>
      <c r="L14" s="8">
        <v>2</v>
      </c>
      <c r="M14" s="8">
        <v>2</v>
      </c>
      <c r="N14" s="8">
        <v>2</v>
      </c>
      <c r="O14" s="8">
        <v>2</v>
      </c>
      <c r="P14" s="8">
        <v>2</v>
      </c>
      <c r="Q14" s="8">
        <v>2</v>
      </c>
    </row>
    <row r="15" spans="1:17" x14ac:dyDescent="0.2">
      <c r="A15" s="16" t="s">
        <v>18</v>
      </c>
      <c r="B15" s="13" t="s">
        <v>20</v>
      </c>
      <c r="C15" s="8">
        <v>2</v>
      </c>
      <c r="D15" s="8">
        <v>2</v>
      </c>
      <c r="E15" s="8">
        <v>2</v>
      </c>
      <c r="F15" s="8">
        <v>2</v>
      </c>
      <c r="G15" s="8">
        <v>2</v>
      </c>
      <c r="H15" s="8">
        <v>2</v>
      </c>
      <c r="I15" s="8">
        <v>2</v>
      </c>
      <c r="J15" s="8">
        <v>2</v>
      </c>
      <c r="K15" s="8">
        <v>2</v>
      </c>
      <c r="L15" s="8">
        <v>2</v>
      </c>
      <c r="M15" s="8">
        <v>2</v>
      </c>
      <c r="N15" s="8">
        <v>2</v>
      </c>
      <c r="O15" s="8">
        <v>2</v>
      </c>
      <c r="P15" s="8">
        <v>2</v>
      </c>
      <c r="Q15" s="8">
        <v>2</v>
      </c>
    </row>
    <row r="16" spans="1:17" x14ac:dyDescent="0.2">
      <c r="A16" s="8"/>
      <c r="B16" s="1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</row>
    <row r="17" spans="1:17" x14ac:dyDescent="0.2">
      <c r="A17" s="15" t="s">
        <v>30</v>
      </c>
      <c r="B17" s="11" t="s">
        <v>21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</row>
    <row r="18" spans="1:17" x14ac:dyDescent="0.2">
      <c r="A18" s="9" t="s">
        <v>17</v>
      </c>
      <c r="B18" s="12" t="s">
        <v>21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</row>
    <row r="19" spans="1:17" x14ac:dyDescent="0.2">
      <c r="A19" s="16">
        <v>0</v>
      </c>
      <c r="B19" s="13" t="s">
        <v>21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</row>
    <row r="31" spans="1:17" x14ac:dyDescent="0.2">
      <c r="A31" s="17"/>
      <c r="B31" s="1" t="s">
        <v>0</v>
      </c>
      <c r="C31" s="22" t="s">
        <v>25</v>
      </c>
      <c r="D31" s="23" t="s">
        <v>26</v>
      </c>
      <c r="E31" s="23" t="s">
        <v>27</v>
      </c>
      <c r="F31" s="23" t="s">
        <v>28</v>
      </c>
      <c r="G31" s="24" t="s">
        <v>29</v>
      </c>
    </row>
    <row r="32" spans="1:17" x14ac:dyDescent="0.2">
      <c r="A32" s="11" t="s">
        <v>77</v>
      </c>
      <c r="B32" s="7" t="s">
        <v>16</v>
      </c>
      <c r="C32" s="26">
        <v>15</v>
      </c>
      <c r="D32" s="21">
        <v>16</v>
      </c>
      <c r="E32" s="21">
        <v>16</v>
      </c>
      <c r="F32" s="21">
        <v>16</v>
      </c>
      <c r="G32" s="21">
        <v>16</v>
      </c>
    </row>
    <row r="33" spans="1:7" x14ac:dyDescent="0.2">
      <c r="A33" s="12" t="s">
        <v>77</v>
      </c>
      <c r="B33" s="9" t="s">
        <v>17</v>
      </c>
      <c r="C33" s="26">
        <v>16</v>
      </c>
      <c r="D33" s="21">
        <v>16</v>
      </c>
      <c r="E33" s="21">
        <v>16</v>
      </c>
      <c r="F33" s="21">
        <v>16</v>
      </c>
      <c r="G33" s="21">
        <v>16</v>
      </c>
    </row>
    <row r="34" spans="1:7" x14ac:dyDescent="0.2">
      <c r="A34" s="13" t="s">
        <v>77</v>
      </c>
      <c r="B34" s="10" t="s">
        <v>18</v>
      </c>
      <c r="C34" s="26">
        <v>15</v>
      </c>
      <c r="D34" s="21">
        <v>16</v>
      </c>
      <c r="E34" s="21">
        <v>16</v>
      </c>
      <c r="F34" s="21">
        <v>16</v>
      </c>
      <c r="G34" s="21">
        <v>16</v>
      </c>
    </row>
    <row r="35" spans="1:7" x14ac:dyDescent="0.2">
      <c r="A35" s="17"/>
      <c r="B35" s="8"/>
      <c r="C35" s="27">
        <v>0</v>
      </c>
      <c r="D35" s="28">
        <v>0</v>
      </c>
      <c r="E35" s="28">
        <v>0</v>
      </c>
      <c r="F35" s="28">
        <v>0</v>
      </c>
      <c r="G35" s="28">
        <v>0</v>
      </c>
    </row>
    <row r="36" spans="1:7" x14ac:dyDescent="0.2">
      <c r="A36" s="8"/>
      <c r="B36" s="18" t="s">
        <v>23</v>
      </c>
      <c r="C36" s="29">
        <v>1</v>
      </c>
      <c r="D36" s="19">
        <v>1</v>
      </c>
      <c r="E36" s="19">
        <v>1</v>
      </c>
      <c r="F36" s="19">
        <v>1</v>
      </c>
      <c r="G36" s="19">
        <v>1</v>
      </c>
    </row>
    <row r="37" spans="1:7" x14ac:dyDescent="0.2">
      <c r="A37" s="17"/>
      <c r="B37" s="18" t="s">
        <v>24</v>
      </c>
      <c r="C37" s="30">
        <v>0</v>
      </c>
      <c r="D37" s="20">
        <v>0</v>
      </c>
      <c r="E37" s="20">
        <v>0</v>
      </c>
      <c r="F37" s="20">
        <v>0</v>
      </c>
      <c r="G37" s="20">
        <v>0</v>
      </c>
    </row>
    <row r="38" spans="1:7" x14ac:dyDescent="0.2">
      <c r="A38" s="17"/>
      <c r="B38" s="8"/>
      <c r="C38" s="31"/>
      <c r="D38" s="21"/>
      <c r="E38" s="21"/>
      <c r="F38" s="21"/>
      <c r="G38" s="21"/>
    </row>
    <row r="39" spans="1:7" x14ac:dyDescent="0.2">
      <c r="A39" s="15" t="s">
        <v>16</v>
      </c>
      <c r="B39" s="11" t="s">
        <v>19</v>
      </c>
      <c r="C39" s="26">
        <v>13</v>
      </c>
      <c r="D39" s="21">
        <v>14</v>
      </c>
      <c r="E39" s="21">
        <v>14</v>
      </c>
      <c r="F39" s="21">
        <v>14</v>
      </c>
      <c r="G39" s="21">
        <v>14</v>
      </c>
    </row>
    <row r="40" spans="1:7" x14ac:dyDescent="0.2">
      <c r="A40" s="9" t="s">
        <v>17</v>
      </c>
      <c r="B40" s="12" t="s">
        <v>19</v>
      </c>
      <c r="C40" s="26">
        <v>14</v>
      </c>
      <c r="D40" s="21">
        <v>14</v>
      </c>
      <c r="E40" s="21">
        <v>14</v>
      </c>
      <c r="F40" s="21">
        <v>14</v>
      </c>
      <c r="G40" s="21">
        <v>14</v>
      </c>
    </row>
    <row r="41" spans="1:7" x14ac:dyDescent="0.2">
      <c r="A41" s="16" t="s">
        <v>18</v>
      </c>
      <c r="B41" s="13" t="s">
        <v>19</v>
      </c>
      <c r="C41" s="26">
        <v>13</v>
      </c>
      <c r="D41" s="21">
        <v>14</v>
      </c>
      <c r="E41" s="21">
        <v>14</v>
      </c>
      <c r="F41" s="21">
        <v>14</v>
      </c>
      <c r="G41" s="21">
        <v>14</v>
      </c>
    </row>
    <row r="42" spans="1:7" x14ac:dyDescent="0.2">
      <c r="A42" s="8"/>
      <c r="B42" s="17"/>
      <c r="C42" s="26"/>
      <c r="D42" s="21"/>
      <c r="E42" s="21"/>
      <c r="F42" s="21"/>
      <c r="G42" s="21"/>
    </row>
    <row r="43" spans="1:7" x14ac:dyDescent="0.2">
      <c r="A43" s="15" t="s">
        <v>16</v>
      </c>
      <c r="B43" s="11" t="s">
        <v>20</v>
      </c>
      <c r="C43" s="26">
        <v>2</v>
      </c>
      <c r="D43" s="21">
        <v>2</v>
      </c>
      <c r="E43" s="21">
        <v>2</v>
      </c>
      <c r="F43" s="21">
        <v>2</v>
      </c>
      <c r="G43" s="21">
        <v>2</v>
      </c>
    </row>
    <row r="44" spans="1:7" x14ac:dyDescent="0.2">
      <c r="A44" s="9" t="s">
        <v>17</v>
      </c>
      <c r="B44" s="12" t="s">
        <v>20</v>
      </c>
      <c r="C44" s="26">
        <v>2</v>
      </c>
      <c r="D44" s="21">
        <v>2</v>
      </c>
      <c r="E44" s="21">
        <v>2</v>
      </c>
      <c r="F44" s="21">
        <v>2</v>
      </c>
      <c r="G44" s="21">
        <v>2</v>
      </c>
    </row>
    <row r="45" spans="1:7" x14ac:dyDescent="0.2">
      <c r="A45" s="16" t="s">
        <v>18</v>
      </c>
      <c r="B45" s="13" t="s">
        <v>20</v>
      </c>
      <c r="C45" s="26">
        <v>2</v>
      </c>
      <c r="D45" s="21">
        <v>2</v>
      </c>
      <c r="E45" s="21">
        <v>2</v>
      </c>
      <c r="F45" s="21">
        <v>2</v>
      </c>
      <c r="G45" s="21">
        <v>2</v>
      </c>
    </row>
    <row r="46" spans="1:7" x14ac:dyDescent="0.2">
      <c r="A46" s="8"/>
      <c r="B46" s="17"/>
      <c r="C46" s="26"/>
      <c r="D46" s="21"/>
      <c r="E46" s="21"/>
      <c r="F46" s="21"/>
      <c r="G46" s="21"/>
    </row>
    <row r="47" spans="1:7" x14ac:dyDescent="0.2">
      <c r="A47" s="15" t="s">
        <v>30</v>
      </c>
      <c r="B47" s="11" t="s">
        <v>21</v>
      </c>
      <c r="C47" s="26">
        <v>0</v>
      </c>
      <c r="D47" s="21">
        <v>0</v>
      </c>
      <c r="E47" s="21">
        <v>0</v>
      </c>
      <c r="F47" s="21">
        <v>0</v>
      </c>
      <c r="G47" s="21">
        <v>0</v>
      </c>
    </row>
    <row r="48" spans="1:7" x14ac:dyDescent="0.2">
      <c r="A48" s="9" t="s">
        <v>17</v>
      </c>
      <c r="B48" s="12" t="s">
        <v>21</v>
      </c>
      <c r="C48" s="26">
        <v>0</v>
      </c>
      <c r="D48" s="21">
        <v>0</v>
      </c>
      <c r="E48" s="21">
        <v>0</v>
      </c>
      <c r="F48" s="21">
        <v>0</v>
      </c>
      <c r="G48" s="21">
        <v>0</v>
      </c>
    </row>
    <row r="49" spans="1:17" x14ac:dyDescent="0.2">
      <c r="A49" s="16">
        <v>0</v>
      </c>
      <c r="B49" s="13" t="s">
        <v>21</v>
      </c>
      <c r="C49" s="26">
        <v>0</v>
      </c>
      <c r="D49" s="21">
        <v>0</v>
      </c>
      <c r="E49" s="21">
        <v>0</v>
      </c>
      <c r="F49" s="21">
        <v>0</v>
      </c>
      <c r="G49" s="21">
        <v>0</v>
      </c>
    </row>
    <row r="61" spans="1:17" x14ac:dyDescent="0.2">
      <c r="A61" s="33" t="s">
        <v>35</v>
      </c>
      <c r="B61" s="34"/>
      <c r="C61" s="40" t="s">
        <v>1</v>
      </c>
      <c r="D61" s="40" t="s">
        <v>2</v>
      </c>
      <c r="E61" s="40" t="s">
        <v>3</v>
      </c>
      <c r="F61" s="3" t="s">
        <v>4</v>
      </c>
      <c r="G61" s="3" t="s">
        <v>5</v>
      </c>
      <c r="H61" s="3" t="s">
        <v>6</v>
      </c>
      <c r="I61" s="4" t="s">
        <v>7</v>
      </c>
      <c r="J61" s="4" t="s">
        <v>8</v>
      </c>
      <c r="K61" s="4" t="s">
        <v>9</v>
      </c>
      <c r="L61" s="5" t="s">
        <v>10</v>
      </c>
      <c r="M61" s="5" t="s">
        <v>11</v>
      </c>
      <c r="N61" s="5" t="s">
        <v>12</v>
      </c>
      <c r="O61" s="6" t="s">
        <v>13</v>
      </c>
      <c r="P61" s="6" t="s">
        <v>14</v>
      </c>
      <c r="Q61" s="6" t="s">
        <v>15</v>
      </c>
    </row>
    <row r="62" spans="1:17" x14ac:dyDescent="0.2">
      <c r="A62" s="12"/>
      <c r="B62" s="46" t="s">
        <v>16</v>
      </c>
      <c r="C62" s="12">
        <v>15</v>
      </c>
      <c r="D62" s="12">
        <v>15</v>
      </c>
      <c r="E62" s="12">
        <v>15</v>
      </c>
      <c r="F62" s="12">
        <v>16</v>
      </c>
      <c r="G62" s="12">
        <v>16</v>
      </c>
      <c r="H62" s="12">
        <v>16</v>
      </c>
      <c r="I62" s="12">
        <v>16</v>
      </c>
      <c r="J62" s="12">
        <v>16</v>
      </c>
      <c r="K62" s="12">
        <v>16</v>
      </c>
      <c r="L62" s="12">
        <v>16</v>
      </c>
      <c r="M62" s="12">
        <v>16</v>
      </c>
      <c r="N62" s="12">
        <v>16</v>
      </c>
      <c r="O62" s="12">
        <v>16</v>
      </c>
      <c r="P62" s="12">
        <v>16</v>
      </c>
      <c r="Q62" s="12">
        <v>16</v>
      </c>
    </row>
    <row r="63" spans="1:17" x14ac:dyDescent="0.2">
      <c r="A63" s="36"/>
      <c r="B63" s="47" t="s">
        <v>18</v>
      </c>
      <c r="C63" s="48">
        <v>15</v>
      </c>
      <c r="D63" s="48">
        <v>15</v>
      </c>
      <c r="E63" s="48">
        <v>15</v>
      </c>
      <c r="F63" s="48">
        <v>16</v>
      </c>
      <c r="G63" s="48">
        <v>16</v>
      </c>
      <c r="H63" s="48">
        <v>16</v>
      </c>
      <c r="I63" s="48">
        <v>16</v>
      </c>
      <c r="J63" s="48">
        <v>16</v>
      </c>
      <c r="K63" s="48">
        <v>16</v>
      </c>
      <c r="L63" s="48">
        <v>16</v>
      </c>
      <c r="M63" s="48">
        <v>16</v>
      </c>
      <c r="N63" s="48">
        <v>16</v>
      </c>
      <c r="O63" s="48">
        <v>16</v>
      </c>
      <c r="P63" s="48">
        <v>16</v>
      </c>
      <c r="Q63" s="48">
        <v>16</v>
      </c>
    </row>
    <row r="64" spans="1:17" x14ac:dyDescent="0.2">
      <c r="A64" s="49" t="s">
        <v>78</v>
      </c>
      <c r="B64" s="50" t="s">
        <v>16</v>
      </c>
      <c r="C64" s="49">
        <v>1</v>
      </c>
      <c r="D64" s="49">
        <v>1</v>
      </c>
      <c r="E64" s="49">
        <v>1</v>
      </c>
      <c r="F64" s="49">
        <v>1</v>
      </c>
      <c r="G64" s="49">
        <v>1</v>
      </c>
      <c r="H64" s="49">
        <v>1</v>
      </c>
      <c r="I64" s="49">
        <v>1</v>
      </c>
      <c r="J64" s="49">
        <v>1</v>
      </c>
      <c r="K64" s="49">
        <v>1</v>
      </c>
      <c r="L64" s="49">
        <v>1</v>
      </c>
      <c r="M64" s="49">
        <v>1</v>
      </c>
      <c r="N64" s="49">
        <v>1</v>
      </c>
      <c r="O64" s="49">
        <v>1</v>
      </c>
      <c r="P64" s="49">
        <v>1</v>
      </c>
      <c r="Q64" s="49">
        <v>1</v>
      </c>
    </row>
    <row r="65" spans="1:17" x14ac:dyDescent="0.2">
      <c r="A65" s="39" t="s">
        <v>78</v>
      </c>
      <c r="B65" s="10" t="s">
        <v>18</v>
      </c>
      <c r="C65" s="8">
        <v>1</v>
      </c>
      <c r="D65" s="8">
        <v>1</v>
      </c>
      <c r="E65" s="8">
        <v>1</v>
      </c>
      <c r="F65" s="8">
        <v>1</v>
      </c>
      <c r="G65" s="8">
        <v>1</v>
      </c>
      <c r="H65" s="8">
        <v>1</v>
      </c>
      <c r="I65" s="8">
        <v>1</v>
      </c>
      <c r="J65" s="8">
        <v>1</v>
      </c>
      <c r="K65" s="8">
        <v>1</v>
      </c>
      <c r="L65" s="8">
        <v>1</v>
      </c>
      <c r="M65" s="8">
        <v>1</v>
      </c>
      <c r="N65" s="8">
        <v>1</v>
      </c>
      <c r="O65" s="8">
        <v>1</v>
      </c>
      <c r="P65" s="8">
        <v>1</v>
      </c>
      <c r="Q65" s="8">
        <v>1</v>
      </c>
    </row>
    <row r="66" spans="1:17" x14ac:dyDescent="0.2">
      <c r="A66" s="49" t="s">
        <v>79</v>
      </c>
      <c r="B66" s="50" t="s">
        <v>16</v>
      </c>
      <c r="C66" s="49">
        <v>4</v>
      </c>
      <c r="D66" s="49">
        <v>4</v>
      </c>
      <c r="E66" s="49">
        <v>4</v>
      </c>
      <c r="F66" s="49">
        <v>4</v>
      </c>
      <c r="G66" s="49">
        <v>4</v>
      </c>
      <c r="H66" s="49">
        <v>4</v>
      </c>
      <c r="I66" s="49">
        <v>4</v>
      </c>
      <c r="J66" s="49">
        <v>4</v>
      </c>
      <c r="K66" s="49">
        <v>4</v>
      </c>
      <c r="L66" s="49">
        <v>4</v>
      </c>
      <c r="M66" s="49">
        <v>4</v>
      </c>
      <c r="N66" s="49">
        <v>4</v>
      </c>
      <c r="O66" s="49">
        <v>4</v>
      </c>
      <c r="P66" s="49">
        <v>4</v>
      </c>
      <c r="Q66" s="49">
        <v>4</v>
      </c>
    </row>
    <row r="67" spans="1:17" x14ac:dyDescent="0.2">
      <c r="A67" s="39" t="s">
        <v>79</v>
      </c>
      <c r="B67" s="10" t="s">
        <v>18</v>
      </c>
      <c r="C67" s="8">
        <v>4</v>
      </c>
      <c r="D67" s="8">
        <v>4</v>
      </c>
      <c r="E67" s="8">
        <v>4</v>
      </c>
      <c r="F67" s="8">
        <v>4</v>
      </c>
      <c r="G67" s="8">
        <v>4</v>
      </c>
      <c r="H67" s="8">
        <v>4</v>
      </c>
      <c r="I67" s="8">
        <v>4</v>
      </c>
      <c r="J67" s="8">
        <v>4</v>
      </c>
      <c r="K67" s="8">
        <v>4</v>
      </c>
      <c r="L67" s="8">
        <v>4</v>
      </c>
      <c r="M67" s="8">
        <v>4</v>
      </c>
      <c r="N67" s="8">
        <v>4</v>
      </c>
      <c r="O67" s="8">
        <v>4</v>
      </c>
      <c r="P67" s="8">
        <v>4</v>
      </c>
      <c r="Q67" s="8">
        <v>4</v>
      </c>
    </row>
    <row r="68" spans="1:17" x14ac:dyDescent="0.2">
      <c r="A68" s="49" t="s">
        <v>80</v>
      </c>
      <c r="B68" s="50" t="s">
        <v>16</v>
      </c>
      <c r="C68" s="49">
        <v>5</v>
      </c>
      <c r="D68" s="49">
        <v>5</v>
      </c>
      <c r="E68" s="49">
        <v>5</v>
      </c>
      <c r="F68" s="49">
        <v>5</v>
      </c>
      <c r="G68" s="49">
        <v>5</v>
      </c>
      <c r="H68" s="49">
        <v>5</v>
      </c>
      <c r="I68" s="49">
        <v>5</v>
      </c>
      <c r="J68" s="49">
        <v>5</v>
      </c>
      <c r="K68" s="49">
        <v>5</v>
      </c>
      <c r="L68" s="49">
        <v>5</v>
      </c>
      <c r="M68" s="49">
        <v>5</v>
      </c>
      <c r="N68" s="49">
        <v>5</v>
      </c>
      <c r="O68" s="49">
        <v>5</v>
      </c>
      <c r="P68" s="49">
        <v>5</v>
      </c>
      <c r="Q68" s="49">
        <v>5</v>
      </c>
    </row>
    <row r="69" spans="1:17" x14ac:dyDescent="0.2">
      <c r="A69" s="39" t="s">
        <v>80</v>
      </c>
      <c r="B69" s="10" t="s">
        <v>18</v>
      </c>
      <c r="C69" s="8">
        <v>5</v>
      </c>
      <c r="D69" s="8">
        <v>5</v>
      </c>
      <c r="E69" s="8">
        <v>5</v>
      </c>
      <c r="F69" s="8">
        <v>5</v>
      </c>
      <c r="G69" s="8">
        <v>5</v>
      </c>
      <c r="H69" s="8">
        <v>5</v>
      </c>
      <c r="I69" s="8">
        <v>5</v>
      </c>
      <c r="J69" s="8">
        <v>5</v>
      </c>
      <c r="K69" s="8">
        <v>5</v>
      </c>
      <c r="L69" s="8">
        <v>5</v>
      </c>
      <c r="M69" s="8">
        <v>5</v>
      </c>
      <c r="N69" s="8">
        <v>5</v>
      </c>
      <c r="O69" s="8">
        <v>5</v>
      </c>
      <c r="P69" s="8">
        <v>5</v>
      </c>
      <c r="Q69" s="8">
        <v>5</v>
      </c>
    </row>
    <row r="70" spans="1:17" x14ac:dyDescent="0.2">
      <c r="A70" s="42" t="s">
        <v>81</v>
      </c>
      <c r="B70" s="43" t="s">
        <v>16</v>
      </c>
      <c r="C70" s="51">
        <v>4</v>
      </c>
      <c r="D70" s="51">
        <v>4</v>
      </c>
      <c r="E70" s="51">
        <v>4</v>
      </c>
      <c r="F70" s="51">
        <v>4</v>
      </c>
      <c r="G70" s="51">
        <v>4</v>
      </c>
      <c r="H70" s="51">
        <v>4</v>
      </c>
      <c r="I70" s="51">
        <v>4</v>
      </c>
      <c r="J70" s="51">
        <v>4</v>
      </c>
      <c r="K70" s="51">
        <v>4</v>
      </c>
      <c r="L70" s="51">
        <v>4</v>
      </c>
      <c r="M70" s="51">
        <v>4</v>
      </c>
      <c r="N70" s="51">
        <v>4</v>
      </c>
      <c r="O70" s="51">
        <v>4</v>
      </c>
      <c r="P70" s="51">
        <v>4</v>
      </c>
      <c r="Q70" s="51">
        <v>4</v>
      </c>
    </row>
    <row r="71" spans="1:17" x14ac:dyDescent="0.2">
      <c r="A71" s="44" t="s">
        <v>82</v>
      </c>
      <c r="B71" s="45" t="s">
        <v>18</v>
      </c>
      <c r="C71" s="52">
        <v>4</v>
      </c>
      <c r="D71" s="52">
        <v>4</v>
      </c>
      <c r="E71" s="52">
        <v>4</v>
      </c>
      <c r="F71" s="52">
        <v>4</v>
      </c>
      <c r="G71" s="52">
        <v>4</v>
      </c>
      <c r="H71" s="52">
        <v>4</v>
      </c>
      <c r="I71" s="52">
        <v>4</v>
      </c>
      <c r="J71" s="52">
        <v>4</v>
      </c>
      <c r="K71" s="52">
        <v>4</v>
      </c>
      <c r="L71" s="52">
        <v>4</v>
      </c>
      <c r="M71" s="52">
        <v>4</v>
      </c>
      <c r="N71" s="52">
        <v>4</v>
      </c>
      <c r="O71" s="52">
        <v>4</v>
      </c>
      <c r="P71" s="52">
        <v>4</v>
      </c>
      <c r="Q71" s="52">
        <v>4</v>
      </c>
    </row>
    <row r="72" spans="1:17" x14ac:dyDescent="0.2">
      <c r="A72" s="42" t="s">
        <v>83</v>
      </c>
      <c r="B72" s="43" t="s">
        <v>16</v>
      </c>
      <c r="C72" s="51">
        <v>1</v>
      </c>
      <c r="D72" s="51">
        <v>1</v>
      </c>
      <c r="E72" s="51">
        <v>1</v>
      </c>
      <c r="F72" s="51">
        <v>1</v>
      </c>
      <c r="G72" s="51">
        <v>1</v>
      </c>
      <c r="H72" s="51">
        <v>1</v>
      </c>
      <c r="I72" s="51">
        <v>1</v>
      </c>
      <c r="J72" s="51">
        <v>1</v>
      </c>
      <c r="K72" s="51">
        <v>1</v>
      </c>
      <c r="L72" s="51">
        <v>1</v>
      </c>
      <c r="M72" s="51">
        <v>1</v>
      </c>
      <c r="N72" s="51">
        <v>1</v>
      </c>
      <c r="O72" s="51">
        <v>1</v>
      </c>
      <c r="P72" s="51">
        <v>1</v>
      </c>
      <c r="Q72" s="51">
        <v>1</v>
      </c>
    </row>
    <row r="73" spans="1:17" x14ac:dyDescent="0.2">
      <c r="A73" s="44" t="s">
        <v>84</v>
      </c>
      <c r="B73" s="45" t="s">
        <v>18</v>
      </c>
      <c r="C73" s="52">
        <v>1</v>
      </c>
      <c r="D73" s="52">
        <v>1</v>
      </c>
      <c r="E73" s="52">
        <v>1</v>
      </c>
      <c r="F73" s="52">
        <v>1</v>
      </c>
      <c r="G73" s="52">
        <v>1</v>
      </c>
      <c r="H73" s="52">
        <v>1</v>
      </c>
      <c r="I73" s="52">
        <v>1</v>
      </c>
      <c r="J73" s="52">
        <v>1</v>
      </c>
      <c r="K73" s="52">
        <v>1</v>
      </c>
      <c r="L73" s="52">
        <v>1</v>
      </c>
      <c r="M73" s="52">
        <v>1</v>
      </c>
      <c r="N73" s="52">
        <v>1</v>
      </c>
      <c r="O73" s="52">
        <v>1</v>
      </c>
      <c r="P73" s="52">
        <v>1</v>
      </c>
      <c r="Q73" s="52">
        <v>1</v>
      </c>
    </row>
    <row r="74" spans="1:17" x14ac:dyDescent="0.2">
      <c r="A74" s="49" t="s">
        <v>85</v>
      </c>
      <c r="B74" s="50" t="s">
        <v>16</v>
      </c>
      <c r="C74" s="49">
        <v>3</v>
      </c>
      <c r="D74" s="49">
        <v>3</v>
      </c>
      <c r="E74" s="49">
        <v>3</v>
      </c>
      <c r="F74" s="49">
        <v>3</v>
      </c>
      <c r="G74" s="49">
        <v>3</v>
      </c>
      <c r="H74" s="49">
        <v>3</v>
      </c>
      <c r="I74" s="49">
        <v>3</v>
      </c>
      <c r="J74" s="49">
        <v>3</v>
      </c>
      <c r="K74" s="49">
        <v>3</v>
      </c>
      <c r="L74" s="49">
        <v>3</v>
      </c>
      <c r="M74" s="49">
        <v>3</v>
      </c>
      <c r="N74" s="49">
        <v>3</v>
      </c>
      <c r="O74" s="49">
        <v>3</v>
      </c>
      <c r="P74" s="49">
        <v>3</v>
      </c>
      <c r="Q74" s="49">
        <v>3</v>
      </c>
    </row>
    <row r="75" spans="1:17" x14ac:dyDescent="0.2">
      <c r="A75" s="39" t="s">
        <v>85</v>
      </c>
      <c r="B75" s="10" t="s">
        <v>18</v>
      </c>
      <c r="C75" s="8">
        <v>3</v>
      </c>
      <c r="D75" s="8">
        <v>3</v>
      </c>
      <c r="E75" s="8">
        <v>3</v>
      </c>
      <c r="F75" s="8">
        <v>3</v>
      </c>
      <c r="G75" s="8">
        <v>3</v>
      </c>
      <c r="H75" s="8">
        <v>3</v>
      </c>
      <c r="I75" s="8">
        <v>3</v>
      </c>
      <c r="J75" s="8">
        <v>3</v>
      </c>
      <c r="K75" s="8">
        <v>3</v>
      </c>
      <c r="L75" s="8">
        <v>3</v>
      </c>
      <c r="M75" s="8">
        <v>3</v>
      </c>
      <c r="N75" s="8">
        <v>3</v>
      </c>
      <c r="O75" s="8">
        <v>3</v>
      </c>
      <c r="P75" s="8">
        <v>3</v>
      </c>
      <c r="Q75" s="8">
        <v>3</v>
      </c>
    </row>
    <row r="76" spans="1:17" x14ac:dyDescent="0.2">
      <c r="A76" s="42" t="s">
        <v>86</v>
      </c>
      <c r="B76" s="43" t="s">
        <v>16</v>
      </c>
      <c r="C76" s="51">
        <v>2</v>
      </c>
      <c r="D76" s="51">
        <v>2</v>
      </c>
      <c r="E76" s="51">
        <v>2</v>
      </c>
      <c r="F76" s="51">
        <v>2</v>
      </c>
      <c r="G76" s="51">
        <v>2</v>
      </c>
      <c r="H76" s="51">
        <v>2</v>
      </c>
      <c r="I76" s="51">
        <v>2</v>
      </c>
      <c r="J76" s="51">
        <v>2</v>
      </c>
      <c r="K76" s="51">
        <v>2</v>
      </c>
      <c r="L76" s="51">
        <v>2</v>
      </c>
      <c r="M76" s="51">
        <v>2</v>
      </c>
      <c r="N76" s="51">
        <v>2</v>
      </c>
      <c r="O76" s="51">
        <v>2</v>
      </c>
      <c r="P76" s="51">
        <v>2</v>
      </c>
      <c r="Q76" s="51">
        <v>2</v>
      </c>
    </row>
    <row r="77" spans="1:17" x14ac:dyDescent="0.2">
      <c r="A77" s="44" t="s">
        <v>87</v>
      </c>
      <c r="B77" s="45" t="s">
        <v>18</v>
      </c>
      <c r="C77" s="52">
        <v>2</v>
      </c>
      <c r="D77" s="52">
        <v>2</v>
      </c>
      <c r="E77" s="52">
        <v>2</v>
      </c>
      <c r="F77" s="52">
        <v>2</v>
      </c>
      <c r="G77" s="52">
        <v>2</v>
      </c>
      <c r="H77" s="52">
        <v>2</v>
      </c>
      <c r="I77" s="52">
        <v>2</v>
      </c>
      <c r="J77" s="52">
        <v>2</v>
      </c>
      <c r="K77" s="52">
        <v>2</v>
      </c>
      <c r="L77" s="52">
        <v>2</v>
      </c>
      <c r="M77" s="52">
        <v>2</v>
      </c>
      <c r="N77" s="52">
        <v>2</v>
      </c>
      <c r="O77" s="52">
        <v>2</v>
      </c>
      <c r="P77" s="52">
        <v>2</v>
      </c>
      <c r="Q77" s="52">
        <v>2</v>
      </c>
    </row>
    <row r="78" spans="1:17" x14ac:dyDescent="0.2">
      <c r="A78" s="42" t="s">
        <v>88</v>
      </c>
      <c r="B78" s="43" t="s">
        <v>16</v>
      </c>
      <c r="C78" s="51">
        <v>1</v>
      </c>
      <c r="D78" s="51">
        <v>1</v>
      </c>
      <c r="E78" s="51">
        <v>1</v>
      </c>
      <c r="F78" s="51">
        <v>1</v>
      </c>
      <c r="G78" s="51">
        <v>1</v>
      </c>
      <c r="H78" s="51">
        <v>1</v>
      </c>
      <c r="I78" s="51">
        <v>1</v>
      </c>
      <c r="J78" s="51">
        <v>1</v>
      </c>
      <c r="K78" s="51">
        <v>1</v>
      </c>
      <c r="L78" s="51">
        <v>1</v>
      </c>
      <c r="M78" s="51">
        <v>1</v>
      </c>
      <c r="N78" s="51">
        <v>1</v>
      </c>
      <c r="O78" s="51">
        <v>1</v>
      </c>
      <c r="P78" s="51">
        <v>1</v>
      </c>
      <c r="Q78" s="51">
        <v>1</v>
      </c>
    </row>
    <row r="79" spans="1:17" x14ac:dyDescent="0.2">
      <c r="A79" s="44" t="s">
        <v>89</v>
      </c>
      <c r="B79" s="45" t="s">
        <v>18</v>
      </c>
      <c r="C79" s="52">
        <v>1</v>
      </c>
      <c r="D79" s="52">
        <v>1</v>
      </c>
      <c r="E79" s="52">
        <v>1</v>
      </c>
      <c r="F79" s="52">
        <v>1</v>
      </c>
      <c r="G79" s="52">
        <v>1</v>
      </c>
      <c r="H79" s="52">
        <v>1</v>
      </c>
      <c r="I79" s="52">
        <v>1</v>
      </c>
      <c r="J79" s="52">
        <v>1</v>
      </c>
      <c r="K79" s="52">
        <v>1</v>
      </c>
      <c r="L79" s="52">
        <v>1</v>
      </c>
      <c r="M79" s="52">
        <v>1</v>
      </c>
      <c r="N79" s="52">
        <v>1</v>
      </c>
      <c r="O79" s="52">
        <v>1</v>
      </c>
      <c r="P79" s="52">
        <v>1</v>
      </c>
      <c r="Q79" s="52">
        <v>1</v>
      </c>
    </row>
    <row r="80" spans="1:17" x14ac:dyDescent="0.2">
      <c r="A80" s="49" t="s">
        <v>90</v>
      </c>
      <c r="B80" s="50" t="s">
        <v>16</v>
      </c>
      <c r="C80" s="49">
        <v>2</v>
      </c>
      <c r="D80" s="49">
        <v>2</v>
      </c>
      <c r="E80" s="49">
        <v>2</v>
      </c>
      <c r="F80" s="49">
        <v>3</v>
      </c>
      <c r="G80" s="49">
        <v>3</v>
      </c>
      <c r="H80" s="49">
        <v>3</v>
      </c>
      <c r="I80" s="49">
        <v>3</v>
      </c>
      <c r="J80" s="49">
        <v>3</v>
      </c>
      <c r="K80" s="49">
        <v>3</v>
      </c>
      <c r="L80" s="49">
        <v>3</v>
      </c>
      <c r="M80" s="49">
        <v>3</v>
      </c>
      <c r="N80" s="49">
        <v>3</v>
      </c>
      <c r="O80" s="49">
        <v>3</v>
      </c>
      <c r="P80" s="49">
        <v>3</v>
      </c>
      <c r="Q80" s="49">
        <v>3</v>
      </c>
    </row>
    <row r="81" spans="1:17" x14ac:dyDescent="0.2">
      <c r="A81" s="39" t="s">
        <v>90</v>
      </c>
      <c r="B81" s="10" t="s">
        <v>18</v>
      </c>
      <c r="C81" s="8">
        <v>2</v>
      </c>
      <c r="D81" s="8">
        <v>2</v>
      </c>
      <c r="E81" s="8">
        <v>2</v>
      </c>
      <c r="F81" s="8">
        <v>3</v>
      </c>
      <c r="G81" s="8">
        <v>3</v>
      </c>
      <c r="H81" s="8">
        <v>3</v>
      </c>
      <c r="I81" s="8">
        <v>3</v>
      </c>
      <c r="J81" s="8">
        <v>3</v>
      </c>
      <c r="K81" s="8">
        <v>3</v>
      </c>
      <c r="L81" s="8">
        <v>3</v>
      </c>
      <c r="M81" s="8">
        <v>3</v>
      </c>
      <c r="N81" s="8">
        <v>3</v>
      </c>
      <c r="O81" s="8">
        <v>3</v>
      </c>
      <c r="P81" s="8">
        <v>3</v>
      </c>
      <c r="Q81" s="8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7034E-6C79-ED4C-B19B-860240F0490A}">
  <sheetPr>
    <tabColor theme="3" tint="0.79998168889431442"/>
  </sheetPr>
  <dimension ref="A1:P153"/>
  <sheetViews>
    <sheetView topLeftCell="A127" workbookViewId="0">
      <selection activeCell="A151" sqref="A151:XFD153"/>
    </sheetView>
  </sheetViews>
  <sheetFormatPr baseColWidth="10" defaultRowHeight="16" x14ac:dyDescent="0.2"/>
  <cols>
    <col min="1" max="1" width="28.6640625" bestFit="1" customWidth="1"/>
  </cols>
  <sheetData>
    <row r="1" spans="1:16" x14ac:dyDescent="0.2">
      <c r="B1" t="str">
        <f>IF(TDE!C1&gt;0,TDE!C1,"")</f>
        <v>JAN</v>
      </c>
      <c r="C1" t="str">
        <f>IF(TDE!D1&gt;0,TDE!D1,"")</f>
        <v>FEB</v>
      </c>
      <c r="D1" t="str">
        <f>IF(TDE!E1&gt;0,TDE!E1,"")</f>
        <v>MAR</v>
      </c>
      <c r="E1" t="str">
        <f>IF(TDE!F1&gt;0,TDE!F1,"")</f>
        <v>APR</v>
      </c>
      <c r="F1" t="str">
        <f>IF(TDE!G1&gt;0,TDE!G1,"")</f>
        <v>MAY</v>
      </c>
      <c r="G1" t="str">
        <f>IF(TDE!H1&gt;0,TDE!H1,"")</f>
        <v>JUN</v>
      </c>
      <c r="H1" t="str">
        <f>IF(TDE!I1&gt;0,TDE!I1,"")</f>
        <v>JUL</v>
      </c>
      <c r="I1" t="str">
        <f>IF(TDE!J1&gt;0,TDE!J1,"")</f>
        <v>AUG</v>
      </c>
      <c r="J1" t="str">
        <f>IF(TDE!K1&gt;0,TDE!K1,"")</f>
        <v>SEP</v>
      </c>
      <c r="K1" t="str">
        <f>IF(TDE!L1&gt;0,TDE!L1,"")</f>
        <v>OCT</v>
      </c>
      <c r="L1" t="str">
        <f>IF(TDE!M1&gt;0,TDE!M1,"")</f>
        <v>NOV</v>
      </c>
      <c r="M1" t="str">
        <f>IF(TDE!N1&gt;0,TDE!N1,"")</f>
        <v>DEC</v>
      </c>
      <c r="N1" t="str">
        <f>IF(TDE!O1&gt;0,TDE!O1,"")</f>
        <v>JAN'27</v>
      </c>
      <c r="O1" t="str">
        <f>IF(TDE!P1&gt;0,TDE!P1,"")</f>
        <v>FEB'27</v>
      </c>
      <c r="P1" t="str">
        <f>IF(TDE!Q1&gt;0,TDE!Q1,"")</f>
        <v>MAR'27</v>
      </c>
    </row>
    <row r="2" spans="1:16" x14ac:dyDescent="0.2">
      <c r="A2" t="str">
        <f>IF(TDE!B2&gt;0,TDE!B2,"")</f>
        <v>Staff</v>
      </c>
      <c r="B2">
        <f>IF(TDE!C2&gt;0,TDE!C2,"")</f>
        <v>15</v>
      </c>
      <c r="C2">
        <f>IF(TDE!D2&gt;0,TDE!D2,"")</f>
        <v>15</v>
      </c>
      <c r="D2">
        <f>IF(TDE!E2&gt;0,TDE!E2,"")</f>
        <v>15</v>
      </c>
      <c r="E2">
        <f>IF(TDE!F2&gt;0,TDE!F2,"")</f>
        <v>16</v>
      </c>
      <c r="F2">
        <f>IF(TDE!G2&gt;0,TDE!G2,"")</f>
        <v>16</v>
      </c>
      <c r="G2">
        <f>IF(TDE!H2&gt;0,TDE!H2,"")</f>
        <v>16</v>
      </c>
      <c r="H2">
        <f>IF(TDE!I2&gt;0,TDE!I2,"")</f>
        <v>16</v>
      </c>
      <c r="I2">
        <f>IF(TDE!J2&gt;0,TDE!J2,"")</f>
        <v>16</v>
      </c>
      <c r="J2">
        <f>IF(TDE!K2&gt;0,TDE!K2,"")</f>
        <v>16</v>
      </c>
      <c r="K2">
        <f>IF(TDE!L2&gt;0,TDE!L2,"")</f>
        <v>16</v>
      </c>
      <c r="L2">
        <f>IF(TDE!M2&gt;0,TDE!M2,"")</f>
        <v>16</v>
      </c>
      <c r="M2">
        <f>IF(TDE!N2&gt;0,TDE!N2,"")</f>
        <v>16</v>
      </c>
      <c r="N2">
        <f>IF(TDE!O2&gt;0,TDE!O2,"")</f>
        <v>16</v>
      </c>
      <c r="O2">
        <f>IF(TDE!P2&gt;0,TDE!P2,"")</f>
        <v>16</v>
      </c>
      <c r="P2">
        <f>IF(TDE!Q2&gt;0,TDE!Q2,"")</f>
        <v>16</v>
      </c>
    </row>
    <row r="3" spans="1:16" x14ac:dyDescent="0.2">
      <c r="A3" t="str">
        <f>IF(TDE!B3&gt;0,TDE!B3,"")</f>
        <v>Staff AVG</v>
      </c>
      <c r="B3">
        <f>IF(TDE!C3&gt;0,TDE!C3,"")</f>
        <v>16</v>
      </c>
      <c r="C3">
        <f>IF(TDE!D3&gt;0,TDE!D3,"")</f>
        <v>16</v>
      </c>
      <c r="D3">
        <f>IF(TDE!E3&gt;0,TDE!E3,"")</f>
        <v>16</v>
      </c>
      <c r="E3">
        <f>IF(TDE!F3&gt;0,TDE!F3,"")</f>
        <v>16</v>
      </c>
      <c r="F3">
        <f>IF(TDE!G3&gt;0,TDE!G3,"")</f>
        <v>16</v>
      </c>
      <c r="G3">
        <f>IF(TDE!H3&gt;0,TDE!H3,"")</f>
        <v>16</v>
      </c>
      <c r="H3">
        <f>IF(TDE!I3&gt;0,TDE!I3,"")</f>
        <v>16</v>
      </c>
      <c r="I3">
        <f>IF(TDE!J3&gt;0,TDE!J3,"")</f>
        <v>16</v>
      </c>
      <c r="J3">
        <f>IF(TDE!K3&gt;0,TDE!K3,"")</f>
        <v>16</v>
      </c>
      <c r="K3">
        <f>IF(TDE!L3&gt;0,TDE!L3,"")</f>
        <v>16</v>
      </c>
      <c r="L3">
        <f>IF(TDE!M3&gt;0,TDE!M3,"")</f>
        <v>16</v>
      </c>
      <c r="M3">
        <f>IF(TDE!N3&gt;0,TDE!N3,"")</f>
        <v>16</v>
      </c>
      <c r="N3">
        <f>IF(TDE!O3&gt;0,TDE!O3,"")</f>
        <v>16</v>
      </c>
      <c r="O3">
        <f>IF(TDE!P3&gt;0,TDE!P3,"")</f>
        <v>16</v>
      </c>
      <c r="P3">
        <f>IF(TDE!Q3&gt;0,TDE!Q3,"")</f>
        <v>16</v>
      </c>
    </row>
    <row r="4" spans="1:16" x14ac:dyDescent="0.2">
      <c r="A4" t="str">
        <f>IF(TDE!B4&gt;0,TDE!B4,"")</f>
        <v>Plan</v>
      </c>
      <c r="B4">
        <f>IF(TDE!C4&gt;0,TDE!C4,"")</f>
        <v>15</v>
      </c>
      <c r="C4">
        <f>IF(TDE!D4&gt;0,TDE!D4,"")</f>
        <v>15</v>
      </c>
      <c r="D4">
        <f>IF(TDE!E4&gt;0,TDE!E4,"")</f>
        <v>15</v>
      </c>
      <c r="E4">
        <f>IF(TDE!F4&gt;0,TDE!F4,"")</f>
        <v>16</v>
      </c>
      <c r="F4">
        <f>IF(TDE!G4&gt;0,TDE!G4,"")</f>
        <v>16</v>
      </c>
      <c r="G4">
        <f>IF(TDE!H4&gt;0,TDE!H4,"")</f>
        <v>16</v>
      </c>
      <c r="H4">
        <f>IF(TDE!I4&gt;0,TDE!I4,"")</f>
        <v>16</v>
      </c>
      <c r="I4">
        <f>IF(TDE!J4&gt;0,TDE!J4,"")</f>
        <v>16</v>
      </c>
      <c r="J4">
        <f>IF(TDE!K4&gt;0,TDE!K4,"")</f>
        <v>16</v>
      </c>
      <c r="K4">
        <f>IF(TDE!L4&gt;0,TDE!L4,"")</f>
        <v>16</v>
      </c>
      <c r="L4">
        <f>IF(TDE!M4&gt;0,TDE!M4,"")</f>
        <v>16</v>
      </c>
      <c r="M4">
        <f>IF(TDE!N4&gt;0,TDE!N4,"")</f>
        <v>16</v>
      </c>
      <c r="N4">
        <f>IF(TDE!O4&gt;0,TDE!O4,"")</f>
        <v>16</v>
      </c>
      <c r="O4">
        <f>IF(TDE!P4&gt;0,TDE!P4,"")</f>
        <v>16</v>
      </c>
      <c r="P4">
        <f>IF(TDE!Q4&gt;0,TDE!Q4,"")</f>
        <v>16</v>
      </c>
    </row>
    <row r="5" spans="1:16" x14ac:dyDescent="0.2">
      <c r="A5" t="str">
        <f>IF(TDE!B11&gt;0,TDE!B11,"")</f>
        <v>PAYROLL</v>
      </c>
      <c r="B5">
        <f>IF(TDE!C11&gt;0,TDE!C11,"")</f>
        <v>13</v>
      </c>
      <c r="C5">
        <f>IF(TDE!D11&gt;0,TDE!D11,"")</f>
        <v>13</v>
      </c>
      <c r="D5">
        <f>IF(TDE!E11&gt;0,TDE!E11,"")</f>
        <v>13</v>
      </c>
      <c r="E5">
        <f>IF(TDE!F11&gt;0,TDE!F11,"")</f>
        <v>14</v>
      </c>
      <c r="F5">
        <f>IF(TDE!G11&gt;0,TDE!G11,"")</f>
        <v>14</v>
      </c>
      <c r="G5">
        <f>IF(TDE!H11&gt;0,TDE!H11,"")</f>
        <v>14</v>
      </c>
      <c r="H5">
        <f>IF(TDE!I11&gt;0,TDE!I11,"")</f>
        <v>14</v>
      </c>
      <c r="I5">
        <f>IF(TDE!J11&gt;0,TDE!J11,"")</f>
        <v>14</v>
      </c>
      <c r="J5">
        <f>IF(TDE!K11&gt;0,TDE!K11,"")</f>
        <v>14</v>
      </c>
      <c r="K5">
        <f>IF(TDE!L11&gt;0,TDE!L11,"")</f>
        <v>14</v>
      </c>
      <c r="L5">
        <f>IF(TDE!M11&gt;0,TDE!M11,"")</f>
        <v>14</v>
      </c>
      <c r="M5">
        <f>IF(TDE!N11&gt;0,TDE!N11,"")</f>
        <v>14</v>
      </c>
      <c r="N5">
        <f>IF(TDE!O11&gt;0,TDE!O11,"")</f>
        <v>14</v>
      </c>
      <c r="O5">
        <f>IF(TDE!P11&gt;0,TDE!P11,"")</f>
        <v>14</v>
      </c>
      <c r="P5">
        <f>IF(TDE!Q11&gt;0,TDE!Q11,"")</f>
        <v>14</v>
      </c>
    </row>
    <row r="6" spans="1:16" x14ac:dyDescent="0.2">
      <c r="A6" t="str">
        <f>IF(TDE!B15&gt;0,TDE!B15,"")</f>
        <v>CONTRACTOR</v>
      </c>
      <c r="B6">
        <f>IF(TDE!C15&gt;0,TDE!C15,"")</f>
        <v>2</v>
      </c>
      <c r="C6">
        <f>IF(TDE!D15&gt;0,TDE!D15,"")</f>
        <v>2</v>
      </c>
      <c r="D6">
        <f>IF(TDE!E15&gt;0,TDE!E15,"")</f>
        <v>2</v>
      </c>
      <c r="E6">
        <f>IF(TDE!F15&gt;0,TDE!F15,"")</f>
        <v>2</v>
      </c>
      <c r="F6">
        <f>IF(TDE!G15&gt;0,TDE!G15,"")</f>
        <v>2</v>
      </c>
      <c r="G6">
        <f>IF(TDE!H15&gt;0,TDE!H15,"")</f>
        <v>2</v>
      </c>
      <c r="H6">
        <f>IF(TDE!I15&gt;0,TDE!I15,"")</f>
        <v>2</v>
      </c>
      <c r="I6">
        <f>IF(TDE!J15&gt;0,TDE!J15,"")</f>
        <v>2</v>
      </c>
      <c r="J6">
        <f>IF(TDE!K15&gt;0,TDE!K15,"")</f>
        <v>2</v>
      </c>
      <c r="K6">
        <f>IF(TDE!L15&gt;0,TDE!L15,"")</f>
        <v>2</v>
      </c>
      <c r="L6">
        <f>IF(TDE!M15&gt;0,TDE!M15,"")</f>
        <v>2</v>
      </c>
      <c r="M6">
        <f>IF(TDE!N15&gt;0,TDE!N15,"")</f>
        <v>2</v>
      </c>
      <c r="N6">
        <f>IF(TDE!O15&gt;0,TDE!O15,"")</f>
        <v>2</v>
      </c>
      <c r="O6">
        <f>IF(TDE!P15&gt;0,TDE!P15,"")</f>
        <v>2</v>
      </c>
      <c r="P6">
        <f>IF(TDE!Q15&gt;0,TDE!Q15,"")</f>
        <v>2</v>
      </c>
    </row>
    <row r="7" spans="1:16" x14ac:dyDescent="0.2">
      <c r="A7" t="str">
        <f>IF(TDE!B19&gt;0,TDE!B19,"")</f>
        <v>OUTSOURCE</v>
      </c>
      <c r="B7" t="str">
        <f>IF(TDE!C19&gt;0,TDE!C19,"")</f>
        <v/>
      </c>
      <c r="C7" t="str">
        <f>IF(TDE!D19&gt;0,TDE!D19,"")</f>
        <v/>
      </c>
      <c r="D7" t="str">
        <f>IF(TDE!E19&gt;0,TDE!E19,"")</f>
        <v/>
      </c>
      <c r="E7" t="str">
        <f>IF(TDE!F19&gt;0,TDE!F19,"")</f>
        <v/>
      </c>
      <c r="F7" t="str">
        <f>IF(TDE!G19&gt;0,TDE!G19,"")</f>
        <v/>
      </c>
      <c r="G7" t="str">
        <f>IF(TDE!H19&gt;0,TDE!H19,"")</f>
        <v/>
      </c>
      <c r="H7" t="str">
        <f>IF(TDE!I19&gt;0,TDE!I19,"")</f>
        <v/>
      </c>
      <c r="I7" t="str">
        <f>IF(TDE!J19&gt;0,TDE!J19,"")</f>
        <v/>
      </c>
      <c r="J7" t="str">
        <f>IF(TDE!K19&gt;0,TDE!K19,"")</f>
        <v/>
      </c>
      <c r="K7" t="str">
        <f>IF(TDE!L19&gt;0,TDE!L19,"")</f>
        <v/>
      </c>
      <c r="L7" t="str">
        <f>IF(TDE!M19&gt;0,TDE!M19,"")</f>
        <v/>
      </c>
      <c r="M7" t="str">
        <f>IF(TDE!N19&gt;0,TDE!N19,"")</f>
        <v/>
      </c>
      <c r="N7" t="str">
        <f>IF(TDE!O19&gt;0,TDE!O19,"")</f>
        <v/>
      </c>
      <c r="O7" t="str">
        <f>IF(TDE!P19&gt;0,TDE!P19,"")</f>
        <v/>
      </c>
      <c r="P7" t="str">
        <f>IF(TDE!Q19&gt;0,TDE!Q19,"")</f>
        <v/>
      </c>
    </row>
    <row r="11" spans="1:16" x14ac:dyDescent="0.2">
      <c r="B11" t="str">
        <f>IF(TDE!C1&gt;0,TDE!C1,"")</f>
        <v>JAN</v>
      </c>
      <c r="C11" t="str">
        <f>IF(TDE!D1&gt;0,TDE!D1,"")</f>
        <v>FEB</v>
      </c>
      <c r="D11" t="str">
        <f>IF(TDE!E1&gt;0,TDE!E1,"")</f>
        <v>MAR</v>
      </c>
      <c r="E11" t="str">
        <f>IF(TDE!F1&gt;0,TDE!F1,"")</f>
        <v>APR</v>
      </c>
      <c r="F11" t="str">
        <f>IF(TDE!G1&gt;0,TDE!G1,"")</f>
        <v>MAY</v>
      </c>
      <c r="G11" t="str">
        <f>IF(TDE!H1&gt;0,TDE!H1,"")</f>
        <v>JUN</v>
      </c>
      <c r="H11" t="str">
        <f>IF(TDE!I1&gt;0,TDE!I1,"")</f>
        <v>JUL</v>
      </c>
      <c r="I11" t="str">
        <f>IF(TDE!J1&gt;0,TDE!J1,"")</f>
        <v>AUG</v>
      </c>
      <c r="J11" t="str">
        <f>IF(TDE!K1&gt;0,TDE!K1,"")</f>
        <v>SEP</v>
      </c>
      <c r="K11" t="str">
        <f>IF(TDE!L1&gt;0,TDE!L1,"")</f>
        <v>OCT</v>
      </c>
      <c r="L11" t="str">
        <f>IF(TDE!M1&gt;0,TDE!M1,"")</f>
        <v>NOV</v>
      </c>
      <c r="M11" t="str">
        <f>IF(TDE!N1&gt;0,TDE!N1,"")</f>
        <v>DEC</v>
      </c>
      <c r="N11" t="str">
        <f>IF(TDE!O1&gt;0,TDE!O1,"")</f>
        <v>JAN'27</v>
      </c>
      <c r="O11" t="str">
        <f>IF(TDE!P1&gt;0,TDE!P1,"")</f>
        <v>FEB'27</v>
      </c>
      <c r="P11" t="str">
        <f>IF(TDE!Q1&gt;0,TDE!Q1,"")</f>
        <v>MAR'27</v>
      </c>
    </row>
    <row r="12" spans="1:16" x14ac:dyDescent="0.2">
      <c r="A12" t="str">
        <f>IF(TDE!B2&gt;0,TDE!B2,"")</f>
        <v>Staff</v>
      </c>
      <c r="B12">
        <f>IF(TDE!C9&gt;0,TDE!C9,"")</f>
        <v>13</v>
      </c>
      <c r="C12">
        <f>IF(TDE!D9&gt;0,TDE!D9,"")</f>
        <v>13</v>
      </c>
      <c r="D12">
        <f>IF(TDE!E9&gt;0,TDE!E9,"")</f>
        <v>13</v>
      </c>
      <c r="E12">
        <f>IF(TDE!F9&gt;0,TDE!F9,"")</f>
        <v>14</v>
      </c>
      <c r="F12">
        <f>IF(TDE!G9&gt;0,TDE!G9,"")</f>
        <v>14</v>
      </c>
      <c r="G12">
        <f>IF(TDE!H9&gt;0,TDE!H9,"")</f>
        <v>14</v>
      </c>
      <c r="H12">
        <f>IF(TDE!I9&gt;0,TDE!I9,"")</f>
        <v>14</v>
      </c>
      <c r="I12">
        <f>IF(TDE!J9&gt;0,TDE!J9,"")</f>
        <v>14</v>
      </c>
      <c r="J12">
        <f>IF(TDE!K9&gt;0,TDE!K9,"")</f>
        <v>14</v>
      </c>
      <c r="K12">
        <f>IF(TDE!L9&gt;0,TDE!L9,"")</f>
        <v>14</v>
      </c>
      <c r="L12">
        <f>IF(TDE!M9&gt;0,TDE!M9,"")</f>
        <v>14</v>
      </c>
      <c r="M12">
        <f>IF(TDE!N9&gt;0,TDE!N9,"")</f>
        <v>14</v>
      </c>
      <c r="N12">
        <f>IF(TDE!O9&gt;0,TDE!O9,"")</f>
        <v>14</v>
      </c>
      <c r="O12">
        <f>IF(TDE!P9&gt;0,TDE!P9,"")</f>
        <v>14</v>
      </c>
      <c r="P12">
        <f>IF(TDE!Q9&gt;0,TDE!Q9,"")</f>
        <v>14</v>
      </c>
    </row>
    <row r="13" spans="1:16" x14ac:dyDescent="0.2">
      <c r="A13" t="str">
        <f>IF(TDE!B3&gt;0,TDE!B3,"")</f>
        <v>Staff AVG</v>
      </c>
      <c r="B13">
        <f>IF(TDE!C10&gt;0,TDE!C10,"")</f>
        <v>14</v>
      </c>
      <c r="C13">
        <f>IF(TDE!D10&gt;0,TDE!D10,"")</f>
        <v>14</v>
      </c>
      <c r="D13">
        <f>IF(TDE!E10&gt;0,TDE!E10,"")</f>
        <v>14</v>
      </c>
      <c r="E13">
        <f>IF(TDE!F10&gt;0,TDE!F10,"")</f>
        <v>14</v>
      </c>
      <c r="F13">
        <f>IF(TDE!G10&gt;0,TDE!G10,"")</f>
        <v>14</v>
      </c>
      <c r="G13">
        <f>IF(TDE!H10&gt;0,TDE!H10,"")</f>
        <v>14</v>
      </c>
      <c r="H13">
        <f>IF(TDE!I10&gt;0,TDE!I10,"")</f>
        <v>14</v>
      </c>
      <c r="I13">
        <f>IF(TDE!J10&gt;0,TDE!J10,"")</f>
        <v>14</v>
      </c>
      <c r="J13">
        <f>IF(TDE!K10&gt;0,TDE!K10,"")</f>
        <v>14</v>
      </c>
      <c r="K13">
        <f>IF(TDE!L10&gt;0,TDE!L10,"")</f>
        <v>14</v>
      </c>
      <c r="L13">
        <f>IF(TDE!M10&gt;0,TDE!M10,"")</f>
        <v>14</v>
      </c>
      <c r="M13">
        <f>IF(TDE!N10&gt;0,TDE!N10,"")</f>
        <v>14</v>
      </c>
      <c r="N13">
        <f>IF(TDE!O10&gt;0,TDE!O10,"")</f>
        <v>14</v>
      </c>
      <c r="O13">
        <f>IF(TDE!P10&gt;0,TDE!P10,"")</f>
        <v>14</v>
      </c>
      <c r="P13">
        <f>IF(TDE!Q10&gt;0,TDE!Q10,"")</f>
        <v>14</v>
      </c>
    </row>
    <row r="14" spans="1:16" x14ac:dyDescent="0.2">
      <c r="A14" t="str">
        <f>IF(TDE!B4&gt;0,TDE!B4,"")</f>
        <v>Plan</v>
      </c>
      <c r="B14">
        <f>IF(TDE!C11&gt;0,TDE!C11,"")</f>
        <v>13</v>
      </c>
      <c r="C14">
        <f>IF(TDE!D11&gt;0,TDE!D11,"")</f>
        <v>13</v>
      </c>
      <c r="D14">
        <f>IF(TDE!E11&gt;0,TDE!E11,"")</f>
        <v>13</v>
      </c>
      <c r="E14">
        <f>IF(TDE!F11&gt;0,TDE!F11,"")</f>
        <v>14</v>
      </c>
      <c r="F14">
        <f>IF(TDE!G11&gt;0,TDE!G11,"")</f>
        <v>14</v>
      </c>
      <c r="G14">
        <f>IF(TDE!H11&gt;0,TDE!H11,"")</f>
        <v>14</v>
      </c>
      <c r="H14">
        <f>IF(TDE!I11&gt;0,TDE!I11,"")</f>
        <v>14</v>
      </c>
      <c r="I14">
        <f>IF(TDE!J11&gt;0,TDE!J11,"")</f>
        <v>14</v>
      </c>
      <c r="J14">
        <f>IF(TDE!K11&gt;0,TDE!K11,"")</f>
        <v>14</v>
      </c>
      <c r="K14">
        <f>IF(TDE!L11&gt;0,TDE!L11,"")</f>
        <v>14</v>
      </c>
      <c r="L14">
        <f>IF(TDE!M11&gt;0,TDE!M11,"")</f>
        <v>14</v>
      </c>
      <c r="M14">
        <f>IF(TDE!N11&gt;0,TDE!N11,"")</f>
        <v>14</v>
      </c>
      <c r="N14">
        <f>IF(TDE!O11&gt;0,TDE!O11,"")</f>
        <v>14</v>
      </c>
      <c r="O14">
        <f>IF(TDE!P11&gt;0,TDE!P11,"")</f>
        <v>14</v>
      </c>
      <c r="P14">
        <f>IF(TDE!Q11&gt;0,TDE!Q11,"")</f>
        <v>14</v>
      </c>
    </row>
    <row r="21" spans="1:16" x14ac:dyDescent="0.2">
      <c r="B21" t="str">
        <f>IF(TDE!C1&gt;0,TDE!C1,"")</f>
        <v>JAN</v>
      </c>
      <c r="C21" t="str">
        <f>IF(TDE!D1&gt;0,TDE!D1,"")</f>
        <v>FEB</v>
      </c>
      <c r="D21" t="str">
        <f>IF(TDE!E1&gt;0,TDE!E1,"")</f>
        <v>MAR</v>
      </c>
      <c r="E21" t="str">
        <f>IF(TDE!F1&gt;0,TDE!F1,"")</f>
        <v>APR</v>
      </c>
      <c r="F21" t="str">
        <f>IF(TDE!G1&gt;0,TDE!G1,"")</f>
        <v>MAY</v>
      </c>
      <c r="G21" t="str">
        <f>IF(TDE!H1&gt;0,TDE!H1,"")</f>
        <v>JUN</v>
      </c>
      <c r="H21" t="str">
        <f>IF(TDE!I1&gt;0,TDE!I1,"")</f>
        <v>JUL</v>
      </c>
      <c r="I21" t="str">
        <f>IF(TDE!J1&gt;0,TDE!J1,"")</f>
        <v>AUG</v>
      </c>
      <c r="J21" t="str">
        <f>IF(TDE!K1&gt;0,TDE!K1,"")</f>
        <v>SEP</v>
      </c>
      <c r="K21" t="str">
        <f>IF(TDE!L1&gt;0,TDE!L1,"")</f>
        <v>OCT</v>
      </c>
      <c r="L21" t="str">
        <f>IF(TDE!M1&gt;0,TDE!M1,"")</f>
        <v>NOV</v>
      </c>
      <c r="M21" t="str">
        <f>IF(TDE!N1&gt;0,TDE!N1,"")</f>
        <v>DEC</v>
      </c>
      <c r="N21" t="str">
        <f>IF(TDE!O1&gt;0,TDE!O1,"")</f>
        <v>JAN'27</v>
      </c>
      <c r="O21" t="str">
        <f>IF(TDE!P1&gt;0,TDE!P1,"")</f>
        <v>FEB'27</v>
      </c>
      <c r="P21" t="str">
        <f>IF(TDE!Q1&gt;0,TDE!Q1,"")</f>
        <v>MAR'27</v>
      </c>
    </row>
    <row r="22" spans="1:16" x14ac:dyDescent="0.2">
      <c r="A22" t="str">
        <f>IF(TDE!B2&gt;0,TDE!B2,"")</f>
        <v>Staff</v>
      </c>
      <c r="B22">
        <f>TDE!C13</f>
        <v>2</v>
      </c>
      <c r="C22">
        <f>TDE!D13</f>
        <v>2</v>
      </c>
      <c r="D22">
        <f>TDE!E13</f>
        <v>2</v>
      </c>
      <c r="E22">
        <f>TDE!F13</f>
        <v>2</v>
      </c>
      <c r="F22">
        <f>TDE!G13</f>
        <v>2</v>
      </c>
      <c r="G22">
        <f>TDE!H13</f>
        <v>2</v>
      </c>
      <c r="H22">
        <f>TDE!I13</f>
        <v>2</v>
      </c>
      <c r="I22">
        <f>TDE!J13</f>
        <v>2</v>
      </c>
      <c r="J22">
        <f>TDE!K13</f>
        <v>2</v>
      </c>
      <c r="K22">
        <f>TDE!L13</f>
        <v>2</v>
      </c>
      <c r="L22">
        <f>TDE!M13</f>
        <v>2</v>
      </c>
      <c r="M22">
        <f>TDE!N13</f>
        <v>2</v>
      </c>
      <c r="N22">
        <f>TDE!O13</f>
        <v>2</v>
      </c>
      <c r="O22">
        <f>TDE!P13</f>
        <v>2</v>
      </c>
      <c r="P22">
        <f>TDE!Q13</f>
        <v>2</v>
      </c>
    </row>
    <row r="23" spans="1:16" x14ac:dyDescent="0.2">
      <c r="A23" t="str">
        <f>IF(TDE!B3&gt;0,TDE!B3,"")</f>
        <v>Staff AVG</v>
      </c>
      <c r="B23">
        <f>TDE!C14</f>
        <v>2</v>
      </c>
      <c r="C23">
        <f>TDE!D14</f>
        <v>2</v>
      </c>
      <c r="D23">
        <f>TDE!E14</f>
        <v>2</v>
      </c>
      <c r="E23">
        <f>TDE!F14</f>
        <v>2</v>
      </c>
      <c r="F23">
        <f>TDE!G14</f>
        <v>2</v>
      </c>
      <c r="G23">
        <f>TDE!H14</f>
        <v>2</v>
      </c>
      <c r="H23">
        <f>TDE!I14</f>
        <v>2</v>
      </c>
      <c r="I23">
        <f>TDE!J14</f>
        <v>2</v>
      </c>
      <c r="J23">
        <f>TDE!K14</f>
        <v>2</v>
      </c>
      <c r="K23">
        <f>TDE!L14</f>
        <v>2</v>
      </c>
      <c r="L23">
        <f>TDE!M14</f>
        <v>2</v>
      </c>
      <c r="M23">
        <f>TDE!N14</f>
        <v>2</v>
      </c>
      <c r="N23">
        <f>TDE!O14</f>
        <v>2</v>
      </c>
      <c r="O23">
        <f>TDE!P14</f>
        <v>2</v>
      </c>
      <c r="P23">
        <f>TDE!Q14</f>
        <v>2</v>
      </c>
    </row>
    <row r="24" spans="1:16" x14ac:dyDescent="0.2">
      <c r="A24" t="str">
        <f>IF(TDE!B4&gt;0,TDE!B4,"")</f>
        <v>Plan</v>
      </c>
      <c r="B24">
        <f>TDE!C15</f>
        <v>2</v>
      </c>
      <c r="C24">
        <f>TDE!D15</f>
        <v>2</v>
      </c>
      <c r="D24">
        <f>TDE!E15</f>
        <v>2</v>
      </c>
      <c r="E24">
        <f>TDE!F15</f>
        <v>2</v>
      </c>
      <c r="F24">
        <f>TDE!G15</f>
        <v>2</v>
      </c>
      <c r="G24">
        <f>TDE!H15</f>
        <v>2</v>
      </c>
      <c r="H24">
        <f>TDE!I15</f>
        <v>2</v>
      </c>
      <c r="I24">
        <f>TDE!J15</f>
        <v>2</v>
      </c>
      <c r="J24">
        <f>TDE!K15</f>
        <v>2</v>
      </c>
      <c r="K24">
        <f>TDE!L15</f>
        <v>2</v>
      </c>
      <c r="L24">
        <f>TDE!M15</f>
        <v>2</v>
      </c>
      <c r="M24">
        <f>TDE!N15</f>
        <v>2</v>
      </c>
      <c r="N24">
        <f>TDE!O15</f>
        <v>2</v>
      </c>
      <c r="O24">
        <f>TDE!P15</f>
        <v>2</v>
      </c>
      <c r="P24">
        <f>TDE!Q15</f>
        <v>2</v>
      </c>
    </row>
    <row r="31" spans="1:16" x14ac:dyDescent="0.2">
      <c r="B31" t="str">
        <f>IF(TDE!C1&gt;0,TDE!C1,"")</f>
        <v>JAN</v>
      </c>
      <c r="C31" t="str">
        <f>IF(TDE!D1&gt;0,TDE!D1,"")</f>
        <v>FEB</v>
      </c>
      <c r="D31" t="str">
        <f>IF(TDE!E1&gt;0,TDE!E1,"")</f>
        <v>MAR</v>
      </c>
      <c r="E31" t="str">
        <f>IF(TDE!F1&gt;0,TDE!F1,"")</f>
        <v>APR</v>
      </c>
      <c r="F31" t="str">
        <f>IF(TDE!G1&gt;0,TDE!G1,"")</f>
        <v>MAY</v>
      </c>
      <c r="G31" t="str">
        <f>IF(TDE!H1&gt;0,TDE!H1,"")</f>
        <v>JUN</v>
      </c>
      <c r="H31" t="str">
        <f>IF(TDE!I1&gt;0,TDE!I1,"")</f>
        <v>JUL</v>
      </c>
      <c r="I31" t="str">
        <f>IF(TDE!J1&gt;0,TDE!J1,"")</f>
        <v>AUG</v>
      </c>
      <c r="J31" t="str">
        <f>IF(TDE!K1&gt;0,TDE!K1,"")</f>
        <v>SEP</v>
      </c>
      <c r="K31" t="str">
        <f>IF(TDE!L1&gt;0,TDE!L1,"")</f>
        <v>OCT</v>
      </c>
      <c r="L31" t="str">
        <f>IF(TDE!M1&gt;0,TDE!M1,"")</f>
        <v>NOV</v>
      </c>
      <c r="M31" t="str">
        <f>IF(TDE!N1&gt;0,TDE!N1,"")</f>
        <v>DEC</v>
      </c>
      <c r="N31" t="str">
        <f>IF(TDE!O1&gt;0,TDE!O1,"")</f>
        <v>JAN'27</v>
      </c>
      <c r="O31" t="str">
        <f>IF(TDE!P1&gt;0,TDE!P1,"")</f>
        <v>FEB'27</v>
      </c>
      <c r="P31" t="str">
        <f>IF(TDE!Q1&gt;0,TDE!Q1,"")</f>
        <v>MAR'27</v>
      </c>
    </row>
    <row r="32" spans="1:16" x14ac:dyDescent="0.2">
      <c r="A32" t="str">
        <f>IF(TDE!B2&gt;0,TDE!B2,"")</f>
        <v>Staff</v>
      </c>
      <c r="B32">
        <f>TDE!C17</f>
        <v>0</v>
      </c>
      <c r="C32">
        <f>TDE!D17</f>
        <v>0</v>
      </c>
      <c r="D32">
        <f>TDE!E17</f>
        <v>0</v>
      </c>
      <c r="E32">
        <f>TDE!F17</f>
        <v>0</v>
      </c>
      <c r="F32">
        <f>TDE!G17</f>
        <v>0</v>
      </c>
      <c r="G32">
        <f>TDE!H17</f>
        <v>0</v>
      </c>
      <c r="H32">
        <f>TDE!I17</f>
        <v>0</v>
      </c>
      <c r="I32">
        <f>TDE!J17</f>
        <v>0</v>
      </c>
      <c r="J32">
        <f>TDE!K17</f>
        <v>0</v>
      </c>
      <c r="K32">
        <f>TDE!L17</f>
        <v>0</v>
      </c>
      <c r="L32">
        <f>TDE!M17</f>
        <v>0</v>
      </c>
      <c r="M32">
        <f>TDE!N17</f>
        <v>0</v>
      </c>
      <c r="N32">
        <f>TDE!O17</f>
        <v>0</v>
      </c>
      <c r="O32">
        <f>TDE!P17</f>
        <v>0</v>
      </c>
      <c r="P32">
        <f>TDE!Q17</f>
        <v>0</v>
      </c>
    </row>
    <row r="33" spans="1:16" x14ac:dyDescent="0.2">
      <c r="A33" t="str">
        <f>IF(TDE!B3&gt;0,TDE!B3,"")</f>
        <v>Staff AVG</v>
      </c>
      <c r="B33">
        <f>TDE!C18</f>
        <v>0</v>
      </c>
      <c r="C33">
        <f>TDE!D18</f>
        <v>0</v>
      </c>
      <c r="D33">
        <f>TDE!E18</f>
        <v>0</v>
      </c>
      <c r="E33">
        <f>TDE!F18</f>
        <v>0</v>
      </c>
      <c r="F33">
        <f>TDE!G18</f>
        <v>0</v>
      </c>
      <c r="G33">
        <f>TDE!H18</f>
        <v>0</v>
      </c>
      <c r="H33">
        <f>TDE!I18</f>
        <v>0</v>
      </c>
      <c r="I33">
        <f>TDE!J18</f>
        <v>0</v>
      </c>
      <c r="J33">
        <f>TDE!K18</f>
        <v>0</v>
      </c>
      <c r="K33">
        <f>TDE!L18</f>
        <v>0</v>
      </c>
      <c r="L33">
        <f>TDE!M18</f>
        <v>0</v>
      </c>
      <c r="M33">
        <f>TDE!N18</f>
        <v>0</v>
      </c>
      <c r="N33">
        <f>TDE!O18</f>
        <v>0</v>
      </c>
      <c r="O33">
        <f>TDE!P18</f>
        <v>0</v>
      </c>
      <c r="P33">
        <f>TDE!Q18</f>
        <v>0</v>
      </c>
    </row>
    <row r="34" spans="1:16" x14ac:dyDescent="0.2">
      <c r="A34" t="str">
        <f>IF(TDE!B4&gt;0,TDE!B4,"")</f>
        <v>Plan</v>
      </c>
      <c r="B34">
        <f>TDE!C19</f>
        <v>0</v>
      </c>
      <c r="C34">
        <f>TDE!D19</f>
        <v>0</v>
      </c>
      <c r="D34">
        <f>TDE!E19</f>
        <v>0</v>
      </c>
      <c r="E34">
        <f>TDE!F19</f>
        <v>0</v>
      </c>
      <c r="F34">
        <f>TDE!G19</f>
        <v>0</v>
      </c>
      <c r="G34">
        <f>TDE!H19</f>
        <v>0</v>
      </c>
      <c r="H34">
        <f>TDE!I19</f>
        <v>0</v>
      </c>
      <c r="I34">
        <f>TDE!J19</f>
        <v>0</v>
      </c>
      <c r="J34">
        <f>TDE!K19</f>
        <v>0</v>
      </c>
      <c r="K34">
        <f>TDE!L19</f>
        <v>0</v>
      </c>
      <c r="L34">
        <f>TDE!M19</f>
        <v>0</v>
      </c>
      <c r="M34">
        <f>TDE!N19</f>
        <v>0</v>
      </c>
      <c r="N34">
        <f>TDE!O19</f>
        <v>0</v>
      </c>
      <c r="O34">
        <f>TDE!P19</f>
        <v>0</v>
      </c>
      <c r="P34">
        <f>TDE!Q19</f>
        <v>0</v>
      </c>
    </row>
    <row r="41" spans="1:16" x14ac:dyDescent="0.2">
      <c r="B41" t="str">
        <f>IF(TDE!C31&gt;0,TDE!C31,"")</f>
        <v>Q1</v>
      </c>
      <c r="C41" t="str">
        <f>IF(TDE!D31&gt;0,TDE!D31,"")</f>
        <v>Q2</v>
      </c>
      <c r="D41" t="str">
        <f>IF(TDE!E31&gt;0,TDE!E31,"")</f>
        <v>Q3</v>
      </c>
      <c r="E41" t="str">
        <f>IF(TDE!F31&gt;0,TDE!F31,"")</f>
        <v>Q4</v>
      </c>
      <c r="F41" t="str">
        <f>IF(TDE!G31&gt;0,TDE!G31,"")</f>
        <v>Q1'27</v>
      </c>
    </row>
    <row r="42" spans="1:16" x14ac:dyDescent="0.2">
      <c r="A42" t="str">
        <f>IF(TDE!B32&gt;0,TDE!B32,"")</f>
        <v>Staff</v>
      </c>
      <c r="B42">
        <f>IF(TDE!C32&gt;0,TDE!C32,"")</f>
        <v>15</v>
      </c>
      <c r="C42">
        <f>IF(TDE!D32&gt;0,TDE!D32,"")</f>
        <v>16</v>
      </c>
      <c r="D42">
        <f>IF(TDE!E32&gt;0,TDE!E32,"")</f>
        <v>16</v>
      </c>
      <c r="E42">
        <f>IF(TDE!F32&gt;0,TDE!F32,"")</f>
        <v>16</v>
      </c>
      <c r="F42">
        <f>IF(TDE!G32&gt;0,TDE!G32,"")</f>
        <v>16</v>
      </c>
    </row>
    <row r="43" spans="1:16" x14ac:dyDescent="0.2">
      <c r="A43" t="str">
        <f>IF(TDE!B33&gt;0,TDE!B33,"")</f>
        <v>Staff AVG</v>
      </c>
      <c r="B43">
        <f>IF(TDE!C33&gt;0,TDE!C33,"")</f>
        <v>16</v>
      </c>
      <c r="C43">
        <f>IF(TDE!D33&gt;0,TDE!D33,"")</f>
        <v>16</v>
      </c>
      <c r="D43">
        <f>IF(TDE!E33&gt;0,TDE!E33,"")</f>
        <v>16</v>
      </c>
      <c r="E43">
        <f>IF(TDE!F33&gt;0,TDE!F33,"")</f>
        <v>16</v>
      </c>
      <c r="F43">
        <f>IF(TDE!G33&gt;0,TDE!G33,"")</f>
        <v>16</v>
      </c>
    </row>
    <row r="44" spans="1:16" x14ac:dyDescent="0.2">
      <c r="A44" t="str">
        <f>IF(TDE!B34&gt;0,TDE!B34,"")</f>
        <v>Plan</v>
      </c>
      <c r="B44">
        <f>IF(TDE!C34&gt;0,TDE!C34,"")</f>
        <v>15</v>
      </c>
      <c r="C44">
        <f>IF(TDE!D34&gt;0,TDE!D34,"")</f>
        <v>16</v>
      </c>
      <c r="D44">
        <f>IF(TDE!E34&gt;0,TDE!E34,"")</f>
        <v>16</v>
      </c>
      <c r="E44">
        <f>IF(TDE!F34&gt;0,TDE!F34,"")</f>
        <v>16</v>
      </c>
      <c r="F44">
        <f>IF(TDE!G34&gt;0,TDE!G34,"")</f>
        <v>16</v>
      </c>
    </row>
    <row r="45" spans="1:16" x14ac:dyDescent="0.2">
      <c r="A45" t="str">
        <f>IF(TDE!B41&gt;0,TDE!B41,"")</f>
        <v>PAYROLL</v>
      </c>
      <c r="B45">
        <f>IF(TDE!C41&gt;0,TDE!C41,"")</f>
        <v>13</v>
      </c>
      <c r="C45">
        <f>IF(TDE!D41&gt;0,TDE!D41,"")</f>
        <v>14</v>
      </c>
      <c r="D45">
        <f>IF(TDE!E41&gt;0,TDE!E41,"")</f>
        <v>14</v>
      </c>
      <c r="E45">
        <f>IF(TDE!F41&gt;0,TDE!F41,"")</f>
        <v>14</v>
      </c>
      <c r="F45">
        <f>IF(TDE!G41&gt;0,TDE!G41,"")</f>
        <v>14</v>
      </c>
    </row>
    <row r="46" spans="1:16" x14ac:dyDescent="0.2">
      <c r="A46" t="str">
        <f>IF(TDE!B45&gt;0,TDE!B45,"")</f>
        <v>CONTRACTOR</v>
      </c>
      <c r="B46">
        <f>IF(TDE!C45&gt;0,TDE!C45,"")</f>
        <v>2</v>
      </c>
      <c r="C46">
        <f>IF(TDE!D45&gt;0,TDE!D45,"")</f>
        <v>2</v>
      </c>
      <c r="D46">
        <f>IF(TDE!E45&gt;0,TDE!E45,"")</f>
        <v>2</v>
      </c>
      <c r="E46">
        <f>IF(TDE!F45&gt;0,TDE!F45,"")</f>
        <v>2</v>
      </c>
      <c r="F46">
        <f>IF(TDE!G45&gt;0,TDE!G45,"")</f>
        <v>2</v>
      </c>
    </row>
    <row r="47" spans="1:16" x14ac:dyDescent="0.2">
      <c r="A47" t="str">
        <f>IF(TDE!B49&gt;0,TDE!B49,"")</f>
        <v>OUTSOURCE</v>
      </c>
      <c r="B47" t="str">
        <f>IF(TDE!C49&gt;0,TDE!C49,"")</f>
        <v/>
      </c>
      <c r="C47" t="str">
        <f>IF(TDE!D49&gt;0,TDE!D49,"")</f>
        <v/>
      </c>
      <c r="D47" t="str">
        <f>IF(TDE!E49&gt;0,TDE!E49,"")</f>
        <v/>
      </c>
      <c r="E47" t="str">
        <f>IF(TDE!F49&gt;0,TDE!F49,"")</f>
        <v/>
      </c>
      <c r="F47" t="str">
        <f>IF(TDE!G49&gt;0,TDE!G49,"")</f>
        <v/>
      </c>
    </row>
    <row r="51" spans="1:16" x14ac:dyDescent="0.2">
      <c r="A51" t="str">
        <f>TDE!A66</f>
        <v>Financial Management</v>
      </c>
      <c r="B51" t="str">
        <f>TDE!C$61</f>
        <v>JAN</v>
      </c>
      <c r="C51" t="str">
        <f>TDE!D$61</f>
        <v>FEB</v>
      </c>
      <c r="D51" t="str">
        <f>TDE!E$61</f>
        <v>MAR</v>
      </c>
      <c r="E51" t="str">
        <f>TDE!F$61</f>
        <v>APR</v>
      </c>
      <c r="F51" t="str">
        <f>TDE!G$61</f>
        <v>MAY</v>
      </c>
      <c r="G51" t="str">
        <f>TDE!H$61</f>
        <v>JUN</v>
      </c>
      <c r="H51" t="str">
        <f>TDE!I$61</f>
        <v>JUL</v>
      </c>
      <c r="I51" t="str">
        <f>TDE!J$61</f>
        <v>AUG</v>
      </c>
      <c r="J51" t="str">
        <f>TDE!K$61</f>
        <v>SEP</v>
      </c>
      <c r="K51" t="str">
        <f>TDE!L$61</f>
        <v>OCT</v>
      </c>
      <c r="L51" t="str">
        <f>TDE!M$61</f>
        <v>NOV</v>
      </c>
      <c r="M51" t="str">
        <f>TDE!N$61</f>
        <v>DEC</v>
      </c>
      <c r="N51" t="str">
        <f>TDE!O$61</f>
        <v>JAN'27</v>
      </c>
      <c r="O51" t="str">
        <f>TDE!P$61</f>
        <v>FEB'27</v>
      </c>
      <c r="P51" t="str">
        <f>TDE!Q$61</f>
        <v>MAR'27</v>
      </c>
    </row>
    <row r="52" spans="1:16" x14ac:dyDescent="0.2">
      <c r="A52" t="str">
        <f>TDE!B66</f>
        <v>Staff</v>
      </c>
      <c r="B52">
        <f>TDE!C66</f>
        <v>4</v>
      </c>
      <c r="C52">
        <f>TDE!D66</f>
        <v>4</v>
      </c>
      <c r="D52">
        <f>TDE!E66</f>
        <v>4</v>
      </c>
      <c r="E52">
        <f>TDE!F66</f>
        <v>4</v>
      </c>
      <c r="F52">
        <f>TDE!G66</f>
        <v>4</v>
      </c>
      <c r="G52">
        <f>TDE!H66</f>
        <v>4</v>
      </c>
      <c r="H52">
        <f>TDE!I66</f>
        <v>4</v>
      </c>
      <c r="I52">
        <f>TDE!J66</f>
        <v>4</v>
      </c>
      <c r="J52">
        <f>TDE!K66</f>
        <v>4</v>
      </c>
      <c r="K52">
        <f>TDE!L66</f>
        <v>4</v>
      </c>
      <c r="L52">
        <f>TDE!M66</f>
        <v>4</v>
      </c>
      <c r="M52">
        <f>TDE!N66</f>
        <v>4</v>
      </c>
      <c r="N52">
        <f>TDE!O66</f>
        <v>4</v>
      </c>
      <c r="O52">
        <f>TDE!P66</f>
        <v>4</v>
      </c>
      <c r="P52">
        <f>TDE!Q66</f>
        <v>4</v>
      </c>
    </row>
    <row r="53" spans="1:16" x14ac:dyDescent="0.2">
      <c r="A53" t="str">
        <f>TDE!B67</f>
        <v>Plan</v>
      </c>
      <c r="B53">
        <f>TDE!C67</f>
        <v>4</v>
      </c>
      <c r="C53">
        <f>TDE!D67</f>
        <v>4</v>
      </c>
      <c r="D53">
        <f>TDE!E67</f>
        <v>4</v>
      </c>
      <c r="E53">
        <f>TDE!F67</f>
        <v>4</v>
      </c>
      <c r="F53">
        <f>TDE!G67</f>
        <v>4</v>
      </c>
      <c r="G53">
        <f>TDE!H67</f>
        <v>4</v>
      </c>
      <c r="H53">
        <f>TDE!I67</f>
        <v>4</v>
      </c>
      <c r="I53">
        <f>TDE!J67</f>
        <v>4</v>
      </c>
      <c r="J53">
        <f>TDE!K67</f>
        <v>4</v>
      </c>
      <c r="K53">
        <f>TDE!L67</f>
        <v>4</v>
      </c>
      <c r="L53">
        <f>TDE!M67</f>
        <v>4</v>
      </c>
      <c r="M53">
        <f>TDE!N67</f>
        <v>4</v>
      </c>
      <c r="N53">
        <f>TDE!O67</f>
        <v>4</v>
      </c>
      <c r="O53">
        <f>TDE!P67</f>
        <v>4</v>
      </c>
      <c r="P53">
        <f>TDE!Q67</f>
        <v>4</v>
      </c>
    </row>
    <row r="61" spans="1:16" x14ac:dyDescent="0.2">
      <c r="A61" t="str">
        <f>TDE!A68</f>
        <v>Resource Management</v>
      </c>
      <c r="B61" t="str">
        <f>TDE!C$61</f>
        <v>JAN</v>
      </c>
      <c r="C61" t="str">
        <f>TDE!D$61</f>
        <v>FEB</v>
      </c>
      <c r="D61" t="str">
        <f>TDE!E$61</f>
        <v>MAR</v>
      </c>
      <c r="E61" t="str">
        <f>TDE!F$61</f>
        <v>APR</v>
      </c>
      <c r="F61" t="str">
        <f>TDE!G$61</f>
        <v>MAY</v>
      </c>
      <c r="G61" t="str">
        <f>TDE!H$61</f>
        <v>JUN</v>
      </c>
      <c r="H61" t="str">
        <f>TDE!I$61</f>
        <v>JUL</v>
      </c>
      <c r="I61" t="str">
        <f>TDE!J$61</f>
        <v>AUG</v>
      </c>
      <c r="J61" t="str">
        <f>TDE!K$61</f>
        <v>SEP</v>
      </c>
      <c r="K61" t="str">
        <f>TDE!L$61</f>
        <v>OCT</v>
      </c>
      <c r="L61" t="str">
        <f>TDE!M$61</f>
        <v>NOV</v>
      </c>
      <c r="M61" t="str">
        <f>TDE!N$61</f>
        <v>DEC</v>
      </c>
      <c r="N61" t="str">
        <f>TDE!O$61</f>
        <v>JAN'27</v>
      </c>
      <c r="O61" t="str">
        <f>TDE!P$61</f>
        <v>FEB'27</v>
      </c>
      <c r="P61" t="str">
        <f>TDE!Q$61</f>
        <v>MAR'27</v>
      </c>
    </row>
    <row r="62" spans="1:16" x14ac:dyDescent="0.2">
      <c r="A62" t="str">
        <f>TDE!B68</f>
        <v>Staff</v>
      </c>
      <c r="B62">
        <f>TDE!C68</f>
        <v>5</v>
      </c>
      <c r="C62">
        <f>TDE!D68</f>
        <v>5</v>
      </c>
      <c r="D62">
        <f>TDE!E68</f>
        <v>5</v>
      </c>
      <c r="E62">
        <f>TDE!F68</f>
        <v>5</v>
      </c>
      <c r="F62">
        <f>TDE!G68</f>
        <v>5</v>
      </c>
      <c r="G62">
        <f>TDE!H68</f>
        <v>5</v>
      </c>
      <c r="H62">
        <f>TDE!I68</f>
        <v>5</v>
      </c>
      <c r="I62">
        <f>TDE!J68</f>
        <v>5</v>
      </c>
      <c r="J62">
        <f>TDE!K68</f>
        <v>5</v>
      </c>
      <c r="K62">
        <f>TDE!L68</f>
        <v>5</v>
      </c>
      <c r="L62">
        <f>TDE!M68</f>
        <v>5</v>
      </c>
      <c r="M62">
        <f>TDE!N68</f>
        <v>5</v>
      </c>
      <c r="N62">
        <f>TDE!O68</f>
        <v>5</v>
      </c>
      <c r="O62">
        <f>TDE!P68</f>
        <v>5</v>
      </c>
      <c r="P62">
        <f>TDE!Q68</f>
        <v>5</v>
      </c>
    </row>
    <row r="63" spans="1:16" x14ac:dyDescent="0.2">
      <c r="A63" t="str">
        <f>TDE!B69</f>
        <v>Plan</v>
      </c>
      <c r="B63">
        <f>TDE!C69</f>
        <v>5</v>
      </c>
      <c r="C63">
        <f>TDE!D69</f>
        <v>5</v>
      </c>
      <c r="D63">
        <f>TDE!E69</f>
        <v>5</v>
      </c>
      <c r="E63">
        <f>TDE!F69</f>
        <v>5</v>
      </c>
      <c r="F63">
        <f>TDE!G69</f>
        <v>5</v>
      </c>
      <c r="G63">
        <f>TDE!H69</f>
        <v>5</v>
      </c>
      <c r="H63">
        <f>TDE!I69</f>
        <v>5</v>
      </c>
      <c r="I63">
        <f>TDE!J69</f>
        <v>5</v>
      </c>
      <c r="J63">
        <f>TDE!K69</f>
        <v>5</v>
      </c>
      <c r="K63">
        <f>TDE!L69</f>
        <v>5</v>
      </c>
      <c r="L63">
        <f>TDE!M69</f>
        <v>5</v>
      </c>
      <c r="M63">
        <f>TDE!N69</f>
        <v>5</v>
      </c>
      <c r="N63">
        <f>TDE!O69</f>
        <v>5</v>
      </c>
      <c r="O63">
        <f>TDE!P69</f>
        <v>5</v>
      </c>
      <c r="P63">
        <f>TDE!Q69</f>
        <v>5</v>
      </c>
    </row>
    <row r="71" spans="1:16" x14ac:dyDescent="0.2">
      <c r="A71" t="str">
        <f>TDE!A74</f>
        <v>Talent Experience &amp; Development</v>
      </c>
      <c r="B71" t="str">
        <f>TDE!C$61</f>
        <v>JAN</v>
      </c>
      <c r="C71" t="str">
        <f>TDE!D$61</f>
        <v>FEB</v>
      </c>
      <c r="D71" t="str">
        <f>TDE!E$61</f>
        <v>MAR</v>
      </c>
      <c r="E71" t="str">
        <f>TDE!F$61</f>
        <v>APR</v>
      </c>
      <c r="F71" t="str">
        <f>TDE!G$61</f>
        <v>MAY</v>
      </c>
      <c r="G71" t="str">
        <f>TDE!H$61</f>
        <v>JUN</v>
      </c>
      <c r="H71" t="str">
        <f>TDE!I$61</f>
        <v>JUL</v>
      </c>
      <c r="I71" t="str">
        <f>TDE!J$61</f>
        <v>AUG</v>
      </c>
      <c r="J71" t="str">
        <f>TDE!K$61</f>
        <v>SEP</v>
      </c>
      <c r="K71" t="str">
        <f>TDE!L$61</f>
        <v>OCT</v>
      </c>
      <c r="L71" t="str">
        <f>TDE!M$61</f>
        <v>NOV</v>
      </c>
      <c r="M71" t="str">
        <f>TDE!N$61</f>
        <v>DEC</v>
      </c>
      <c r="N71" t="str">
        <f>TDE!O$61</f>
        <v>JAN'27</v>
      </c>
      <c r="O71" t="str">
        <f>TDE!P$61</f>
        <v>FEB'27</v>
      </c>
      <c r="P71" t="str">
        <f>TDE!Q$61</f>
        <v>MAR'27</v>
      </c>
    </row>
    <row r="72" spans="1:16" x14ac:dyDescent="0.2">
      <c r="A72" t="str">
        <f>TDE!B74</f>
        <v>Staff</v>
      </c>
      <c r="B72">
        <f>TDE!C74</f>
        <v>3</v>
      </c>
      <c r="C72">
        <f>TDE!D74</f>
        <v>3</v>
      </c>
      <c r="D72">
        <f>TDE!E74</f>
        <v>3</v>
      </c>
      <c r="E72">
        <f>TDE!F74</f>
        <v>3</v>
      </c>
      <c r="F72">
        <f>TDE!G74</f>
        <v>3</v>
      </c>
      <c r="G72">
        <f>TDE!H74</f>
        <v>3</v>
      </c>
      <c r="H72">
        <f>TDE!I74</f>
        <v>3</v>
      </c>
      <c r="I72">
        <f>TDE!J74</f>
        <v>3</v>
      </c>
      <c r="J72">
        <f>TDE!K74</f>
        <v>3</v>
      </c>
      <c r="K72">
        <f>TDE!L74</f>
        <v>3</v>
      </c>
      <c r="L72">
        <f>TDE!M74</f>
        <v>3</v>
      </c>
      <c r="M72">
        <f>TDE!N74</f>
        <v>3</v>
      </c>
      <c r="N72">
        <f>TDE!O74</f>
        <v>3</v>
      </c>
      <c r="O72">
        <f>TDE!P74</f>
        <v>3</v>
      </c>
      <c r="P72">
        <f>TDE!Q74</f>
        <v>3</v>
      </c>
    </row>
    <row r="73" spans="1:16" x14ac:dyDescent="0.2">
      <c r="A73" t="str">
        <f>TDE!B75</f>
        <v>Plan</v>
      </c>
      <c r="B73">
        <f>TDE!C75</f>
        <v>3</v>
      </c>
      <c r="C73">
        <f>TDE!D75</f>
        <v>3</v>
      </c>
      <c r="D73">
        <f>TDE!E75</f>
        <v>3</v>
      </c>
      <c r="E73">
        <f>TDE!F75</f>
        <v>3</v>
      </c>
      <c r="F73">
        <f>TDE!G75</f>
        <v>3</v>
      </c>
      <c r="G73">
        <f>TDE!H75</f>
        <v>3</v>
      </c>
      <c r="H73">
        <f>TDE!I75</f>
        <v>3</v>
      </c>
      <c r="I73">
        <f>TDE!J75</f>
        <v>3</v>
      </c>
      <c r="J73">
        <f>TDE!K75</f>
        <v>3</v>
      </c>
      <c r="K73">
        <f>TDE!L75</f>
        <v>3</v>
      </c>
      <c r="L73">
        <f>TDE!M75</f>
        <v>3</v>
      </c>
      <c r="M73">
        <f>TDE!N75</f>
        <v>3</v>
      </c>
      <c r="N73">
        <f>TDE!O75</f>
        <v>3</v>
      </c>
      <c r="O73">
        <f>TDE!P75</f>
        <v>3</v>
      </c>
      <c r="P73">
        <f>TDE!Q75</f>
        <v>3</v>
      </c>
    </row>
    <row r="81" spans="1:16" x14ac:dyDescent="0.2">
      <c r="A81" t="str">
        <f>TDE!A80</f>
        <v>Center of Excellences</v>
      </c>
      <c r="B81" t="str">
        <f>TDE!C$61</f>
        <v>JAN</v>
      </c>
      <c r="C81" t="str">
        <f>TDE!D$61</f>
        <v>FEB</v>
      </c>
      <c r="D81" t="str">
        <f>TDE!E$61</f>
        <v>MAR</v>
      </c>
      <c r="E81" t="str">
        <f>TDE!F$61</f>
        <v>APR</v>
      </c>
      <c r="F81" t="str">
        <f>TDE!G$61</f>
        <v>MAY</v>
      </c>
      <c r="G81" t="str">
        <f>TDE!H$61</f>
        <v>JUN</v>
      </c>
      <c r="H81" t="str">
        <f>TDE!I$61</f>
        <v>JUL</v>
      </c>
      <c r="I81" t="str">
        <f>TDE!J$61</f>
        <v>AUG</v>
      </c>
      <c r="J81" t="str">
        <f>TDE!K$61</f>
        <v>SEP</v>
      </c>
      <c r="K81" t="str">
        <f>TDE!L$61</f>
        <v>OCT</v>
      </c>
      <c r="L81" t="str">
        <f>TDE!M$61</f>
        <v>NOV</v>
      </c>
      <c r="M81" t="str">
        <f>TDE!N$61</f>
        <v>DEC</v>
      </c>
      <c r="N81" t="str">
        <f>TDE!O$61</f>
        <v>JAN'27</v>
      </c>
      <c r="O81" t="str">
        <f>TDE!P$61</f>
        <v>FEB'27</v>
      </c>
      <c r="P81" t="str">
        <f>TDE!Q$61</f>
        <v>MAR'27</v>
      </c>
    </row>
    <row r="82" spans="1:16" x14ac:dyDescent="0.2">
      <c r="A82" t="str">
        <f>TDE!B80</f>
        <v>Staff</v>
      </c>
      <c r="B82">
        <f>TDE!C80</f>
        <v>2</v>
      </c>
      <c r="C82">
        <f>TDE!D80</f>
        <v>2</v>
      </c>
      <c r="D82">
        <f>TDE!E80</f>
        <v>2</v>
      </c>
      <c r="E82">
        <f>TDE!F80</f>
        <v>3</v>
      </c>
      <c r="F82">
        <f>TDE!G80</f>
        <v>3</v>
      </c>
      <c r="G82">
        <f>TDE!H80</f>
        <v>3</v>
      </c>
      <c r="H82">
        <f>TDE!I80</f>
        <v>3</v>
      </c>
      <c r="I82">
        <f>TDE!J80</f>
        <v>3</v>
      </c>
      <c r="J82">
        <f>TDE!K80</f>
        <v>3</v>
      </c>
      <c r="K82">
        <f>TDE!L80</f>
        <v>3</v>
      </c>
      <c r="L82">
        <f>TDE!M80</f>
        <v>3</v>
      </c>
      <c r="M82">
        <f>TDE!N80</f>
        <v>3</v>
      </c>
      <c r="N82">
        <f>TDE!O80</f>
        <v>3</v>
      </c>
      <c r="O82">
        <f>TDE!P80</f>
        <v>3</v>
      </c>
      <c r="P82">
        <f>TDE!Q80</f>
        <v>3</v>
      </c>
    </row>
    <row r="83" spans="1:16" x14ac:dyDescent="0.2">
      <c r="A83" t="str">
        <f>TDE!B81</f>
        <v>Plan</v>
      </c>
      <c r="B83">
        <f>TDE!C81</f>
        <v>2</v>
      </c>
      <c r="C83">
        <f>TDE!D81</f>
        <v>2</v>
      </c>
      <c r="D83">
        <f>TDE!E81</f>
        <v>2</v>
      </c>
      <c r="E83">
        <f>TDE!F81</f>
        <v>3</v>
      </c>
      <c r="F83">
        <f>TDE!G81</f>
        <v>3</v>
      </c>
      <c r="G83">
        <f>TDE!H81</f>
        <v>3</v>
      </c>
      <c r="H83">
        <f>TDE!I81</f>
        <v>3</v>
      </c>
      <c r="I83">
        <f>TDE!J81</f>
        <v>3</v>
      </c>
      <c r="J83">
        <f>TDE!K81</f>
        <v>3</v>
      </c>
      <c r="K83">
        <f>TDE!L81</f>
        <v>3</v>
      </c>
      <c r="L83">
        <f>TDE!M81</f>
        <v>3</v>
      </c>
      <c r="M83">
        <f>TDE!N81</f>
        <v>3</v>
      </c>
      <c r="N83">
        <f>TDE!O81</f>
        <v>3</v>
      </c>
      <c r="O83">
        <f>TDE!P81</f>
        <v>3</v>
      </c>
      <c r="P83">
        <f>TDE!Q81</f>
        <v>3</v>
      </c>
    </row>
    <row r="151" spans="1:16" x14ac:dyDescent="0.2">
      <c r="B151" t="str">
        <f>TDE!C1</f>
        <v>JAN</v>
      </c>
      <c r="C151" t="str">
        <f>TDE!D1</f>
        <v>FEB</v>
      </c>
      <c r="D151" t="str">
        <f>TDE!E1</f>
        <v>MAR</v>
      </c>
      <c r="E151" t="str">
        <f>TDE!F1</f>
        <v>APR</v>
      </c>
      <c r="F151" t="str">
        <f>TDE!G1</f>
        <v>MAY</v>
      </c>
      <c r="G151" t="str">
        <f>TDE!H1</f>
        <v>JUN</v>
      </c>
      <c r="H151" t="str">
        <f>TDE!I1</f>
        <v>JUL</v>
      </c>
      <c r="I151" t="str">
        <f>TDE!J1</f>
        <v>AUG</v>
      </c>
      <c r="J151" t="str">
        <f>TDE!K1</f>
        <v>SEP</v>
      </c>
      <c r="K151" t="str">
        <f>TDE!L1</f>
        <v>OCT</v>
      </c>
      <c r="L151" t="str">
        <f>TDE!M1</f>
        <v>NOV</v>
      </c>
      <c r="M151" t="str">
        <f>TDE!N1</f>
        <v>DEC</v>
      </c>
      <c r="N151" t="str">
        <f>TDE!O1</f>
        <v>JAN'27</v>
      </c>
      <c r="O151" t="str">
        <f>TDE!P1</f>
        <v>FEB'27</v>
      </c>
      <c r="P151" t="str">
        <f>TDE!Q1</f>
        <v>MAR'27</v>
      </c>
    </row>
    <row r="152" spans="1:16" x14ac:dyDescent="0.2">
      <c r="A152" t="str">
        <f>TDE!B6</f>
        <v>% Plan</v>
      </c>
      <c r="B152" s="62">
        <f>TDE!C6</f>
        <v>1</v>
      </c>
      <c r="C152" s="62">
        <f>TDE!D6</f>
        <v>1</v>
      </c>
      <c r="D152" s="62">
        <f>TDE!E6</f>
        <v>1</v>
      </c>
      <c r="E152" s="62">
        <f>TDE!F6</f>
        <v>1</v>
      </c>
      <c r="F152" s="62">
        <f>TDE!G6</f>
        <v>1</v>
      </c>
      <c r="G152" s="62">
        <f>TDE!H6</f>
        <v>1</v>
      </c>
      <c r="H152" s="62">
        <f>TDE!I6</f>
        <v>1</v>
      </c>
      <c r="I152" s="62">
        <f>TDE!J6</f>
        <v>1</v>
      </c>
      <c r="J152" s="62">
        <f>TDE!K6</f>
        <v>1</v>
      </c>
      <c r="K152" s="62">
        <f>TDE!L6</f>
        <v>1</v>
      </c>
      <c r="L152" s="62">
        <f>TDE!M6</f>
        <v>1</v>
      </c>
      <c r="M152" s="62">
        <f>TDE!N6</f>
        <v>1</v>
      </c>
      <c r="N152" s="62">
        <f>TDE!O6</f>
        <v>1</v>
      </c>
      <c r="O152" s="62">
        <f>TDE!P6</f>
        <v>1</v>
      </c>
      <c r="P152" s="62">
        <f>TDE!Q6</f>
        <v>1</v>
      </c>
    </row>
    <row r="153" spans="1:16" x14ac:dyDescent="0.2">
      <c r="A153" t="str">
        <f>TDE!B7</f>
        <v>Available FTE</v>
      </c>
      <c r="B153">
        <f>TDE!C7</f>
        <v>0</v>
      </c>
      <c r="C153">
        <f>TDE!D7</f>
        <v>0</v>
      </c>
      <c r="D153">
        <f>TDE!E7</f>
        <v>0</v>
      </c>
      <c r="E153">
        <f>TDE!F7</f>
        <v>0</v>
      </c>
      <c r="F153">
        <f>TDE!G7</f>
        <v>0</v>
      </c>
      <c r="G153">
        <f>TDE!H7</f>
        <v>0</v>
      </c>
      <c r="H153">
        <f>TDE!I7</f>
        <v>0</v>
      </c>
      <c r="I153">
        <f>TDE!J7</f>
        <v>0</v>
      </c>
      <c r="J153">
        <f>TDE!K7</f>
        <v>0</v>
      </c>
      <c r="K153">
        <f>TDE!L7</f>
        <v>0</v>
      </c>
      <c r="L153">
        <f>TDE!M7</f>
        <v>0</v>
      </c>
      <c r="M153">
        <f>TDE!N7</f>
        <v>0</v>
      </c>
      <c r="N153">
        <f>TDE!O7</f>
        <v>0</v>
      </c>
      <c r="O153">
        <f>TDE!P7</f>
        <v>0</v>
      </c>
      <c r="P153">
        <f>TDE!Q7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F03D2-F045-604C-BDE8-7CF4034DAA30}">
  <sheetPr>
    <tabColor rgb="FF002060"/>
  </sheetPr>
  <dimension ref="A1:V27"/>
  <sheetViews>
    <sheetView workbookViewId="0">
      <selection activeCell="N24" sqref="N24"/>
    </sheetView>
  </sheetViews>
  <sheetFormatPr baseColWidth="10" defaultRowHeight="16" x14ac:dyDescent="0.2"/>
  <cols>
    <col min="1" max="1" width="21.6640625" bestFit="1" customWidth="1"/>
  </cols>
  <sheetData>
    <row r="1" spans="1:22" x14ac:dyDescent="0.2">
      <c r="A1" s="59" t="s">
        <v>122</v>
      </c>
      <c r="B1" s="59" t="s">
        <v>1</v>
      </c>
      <c r="C1" s="59" t="s">
        <v>2</v>
      </c>
      <c r="D1" s="59" t="s">
        <v>3</v>
      </c>
      <c r="E1" s="59" t="s">
        <v>4</v>
      </c>
      <c r="F1" s="59" t="s">
        <v>5</v>
      </c>
      <c r="G1" s="59" t="s">
        <v>6</v>
      </c>
      <c r="H1" s="59" t="s">
        <v>7</v>
      </c>
      <c r="I1" s="59" t="s">
        <v>8</v>
      </c>
      <c r="J1" s="59" t="s">
        <v>9</v>
      </c>
      <c r="K1" s="59" t="s">
        <v>10</v>
      </c>
      <c r="L1" s="59" t="s">
        <v>11</v>
      </c>
      <c r="M1" s="59" t="s">
        <v>12</v>
      </c>
      <c r="N1" s="59" t="s">
        <v>13</v>
      </c>
      <c r="O1" s="59" t="s">
        <v>14</v>
      </c>
      <c r="P1" s="59" t="s">
        <v>15</v>
      </c>
      <c r="Q1" s="55"/>
      <c r="R1" s="55"/>
      <c r="S1" s="55"/>
      <c r="T1" s="55"/>
      <c r="U1" s="55"/>
      <c r="V1" s="55"/>
    </row>
    <row r="2" spans="1:22" x14ac:dyDescent="0.2">
      <c r="A2" s="8" t="s">
        <v>123</v>
      </c>
      <c r="B2" s="8">
        <v>2.46</v>
      </c>
      <c r="C2" s="8">
        <v>2.4649999999999999</v>
      </c>
      <c r="D2" s="8">
        <v>2.4649999999999999</v>
      </c>
      <c r="E2" s="8">
        <v>1.95</v>
      </c>
      <c r="F2" s="8">
        <v>2.2999999999999998</v>
      </c>
      <c r="G2" s="8">
        <v>3.2</v>
      </c>
      <c r="H2" s="8">
        <v>2.9</v>
      </c>
      <c r="I2" s="8">
        <v>2.7749999999999999</v>
      </c>
      <c r="J2" s="8">
        <v>2.7749999999999999</v>
      </c>
      <c r="K2" s="8">
        <v>2.6124999999999998</v>
      </c>
      <c r="L2" s="8">
        <v>2.6124999999999998</v>
      </c>
      <c r="M2" s="8">
        <v>2.6124999999999998</v>
      </c>
      <c r="N2" s="8">
        <v>0.80249999999999999</v>
      </c>
      <c r="O2" s="8">
        <v>0.80249999999999999</v>
      </c>
      <c r="P2" s="8">
        <v>0.80249999999999999</v>
      </c>
      <c r="Q2" s="8"/>
      <c r="R2" s="8"/>
      <c r="S2" s="60"/>
      <c r="T2" s="8"/>
      <c r="U2" s="8"/>
      <c r="V2" s="60"/>
    </row>
    <row r="3" spans="1:22" x14ac:dyDescent="0.2">
      <c r="A3" s="8" t="s">
        <v>124</v>
      </c>
      <c r="B3" s="8">
        <v>3.37</v>
      </c>
      <c r="C3" s="8">
        <v>2.77</v>
      </c>
      <c r="D3" s="8">
        <v>2.59</v>
      </c>
      <c r="E3" s="8">
        <v>2.08</v>
      </c>
      <c r="F3" s="8">
        <v>2.13</v>
      </c>
      <c r="G3" s="8">
        <v>1.75</v>
      </c>
      <c r="H3" s="8">
        <v>2</v>
      </c>
      <c r="I3" s="8">
        <v>2</v>
      </c>
      <c r="J3" s="8">
        <v>2</v>
      </c>
      <c r="K3" s="8">
        <v>2</v>
      </c>
      <c r="L3" s="8">
        <v>2</v>
      </c>
      <c r="M3" s="8">
        <v>2</v>
      </c>
      <c r="N3" s="8">
        <v>1.55</v>
      </c>
      <c r="O3" s="8">
        <v>1.55</v>
      </c>
      <c r="P3" s="8">
        <v>1.55</v>
      </c>
      <c r="Q3" s="8"/>
      <c r="R3" s="8"/>
      <c r="S3" s="60"/>
      <c r="T3" s="8"/>
      <c r="U3" s="8"/>
      <c r="V3" s="60"/>
    </row>
    <row r="4" spans="1:22" x14ac:dyDescent="0.2">
      <c r="A4" s="8" t="s">
        <v>125</v>
      </c>
      <c r="B4" s="8">
        <v>1.75</v>
      </c>
      <c r="C4" s="8">
        <v>1.1000000000000001</v>
      </c>
      <c r="D4" s="8">
        <v>1.2749999999999999</v>
      </c>
      <c r="E4" s="8">
        <v>0.95</v>
      </c>
      <c r="F4" s="8">
        <v>0.8</v>
      </c>
      <c r="G4" s="8">
        <v>0.6</v>
      </c>
      <c r="H4" s="8">
        <v>0.5</v>
      </c>
      <c r="I4" s="8">
        <v>0.5</v>
      </c>
      <c r="J4" s="8">
        <v>0.5</v>
      </c>
      <c r="K4" s="8">
        <v>0.5</v>
      </c>
      <c r="L4" s="8">
        <v>0.5</v>
      </c>
      <c r="M4" s="8">
        <v>0.5</v>
      </c>
      <c r="N4" s="8">
        <v>0.5</v>
      </c>
      <c r="O4" s="8">
        <v>0.5</v>
      </c>
      <c r="P4" s="8">
        <v>0.5</v>
      </c>
      <c r="Q4" s="8"/>
      <c r="R4" s="8"/>
      <c r="S4" s="60"/>
      <c r="T4" s="8"/>
      <c r="U4" s="8"/>
      <c r="V4" s="60"/>
    </row>
    <row r="5" spans="1:22" x14ac:dyDescent="0.2">
      <c r="A5" s="8" t="s">
        <v>126</v>
      </c>
      <c r="B5" s="8">
        <v>3.2650000000000001</v>
      </c>
      <c r="C5" s="8">
        <v>3.165</v>
      </c>
      <c r="D5" s="8">
        <v>3.0649999999999999</v>
      </c>
      <c r="E5" s="8">
        <v>2.7250000000000001</v>
      </c>
      <c r="F5" s="8">
        <v>2.875</v>
      </c>
      <c r="G5" s="8">
        <v>3.46</v>
      </c>
      <c r="H5" s="8">
        <v>2.6850000000000001</v>
      </c>
      <c r="I5" s="8">
        <v>2.9849999999999999</v>
      </c>
      <c r="J5" s="8">
        <v>2.9849999999999999</v>
      </c>
      <c r="K5" s="8">
        <v>2.9224999999999999</v>
      </c>
      <c r="L5" s="8">
        <v>2.9224999999999999</v>
      </c>
      <c r="M5" s="8">
        <v>2.9224999999999999</v>
      </c>
      <c r="N5" s="8">
        <v>2.81</v>
      </c>
      <c r="O5" s="8">
        <v>2.81</v>
      </c>
      <c r="P5" s="8">
        <v>2.81</v>
      </c>
      <c r="Q5" s="8"/>
      <c r="R5" s="8"/>
      <c r="S5" s="60"/>
      <c r="T5" s="8"/>
      <c r="U5" s="8"/>
      <c r="V5" s="60"/>
    </row>
    <row r="6" spans="1:22" x14ac:dyDescent="0.2">
      <c r="A6" s="8" t="s">
        <v>127</v>
      </c>
      <c r="B6" s="8">
        <v>3.25</v>
      </c>
      <c r="C6" s="8">
        <v>3.625</v>
      </c>
      <c r="D6" s="8">
        <v>3.67</v>
      </c>
      <c r="E6" s="8">
        <v>3.4824999999999999</v>
      </c>
      <c r="F6" s="8">
        <v>2.9824999999999999</v>
      </c>
      <c r="G6" s="8">
        <v>2.9874999999999998</v>
      </c>
      <c r="H6" s="8">
        <v>2.3125</v>
      </c>
      <c r="I6" s="8">
        <v>2.2124999999999999</v>
      </c>
      <c r="J6" s="8">
        <v>3.1124999999999998</v>
      </c>
      <c r="K6" s="8">
        <v>3.1124999999999998</v>
      </c>
      <c r="L6" s="8">
        <v>3.1124999999999998</v>
      </c>
      <c r="M6" s="8">
        <v>3.1124999999999998</v>
      </c>
      <c r="N6" s="8">
        <v>3.05</v>
      </c>
      <c r="O6" s="8">
        <v>3.05</v>
      </c>
      <c r="P6" s="8">
        <v>3.05</v>
      </c>
      <c r="Q6" s="8"/>
      <c r="R6" s="8"/>
      <c r="S6" s="60"/>
      <c r="T6" s="8"/>
      <c r="U6" s="8"/>
      <c r="V6" s="60"/>
    </row>
    <row r="7" spans="1:22" x14ac:dyDescent="0.2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60"/>
      <c r="T7" s="8"/>
      <c r="U7" s="8"/>
      <c r="V7" s="60"/>
    </row>
    <row r="9" spans="1:22" x14ac:dyDescent="0.2">
      <c r="A9" s="61" t="s">
        <v>103</v>
      </c>
    </row>
    <row r="11" spans="1:22" x14ac:dyDescent="0.2">
      <c r="A11" s="53" t="s">
        <v>91</v>
      </c>
      <c r="B11" s="53" t="s">
        <v>105</v>
      </c>
      <c r="C11" s="53" t="s">
        <v>31</v>
      </c>
      <c r="D11" s="53" t="s">
        <v>106</v>
      </c>
      <c r="E11" s="53" t="s">
        <v>107</v>
      </c>
      <c r="F11" s="53" t="s">
        <v>108</v>
      </c>
      <c r="G11" s="53" t="s">
        <v>109</v>
      </c>
      <c r="H11" s="53" t="s">
        <v>110</v>
      </c>
      <c r="I11" s="53" t="s">
        <v>111</v>
      </c>
      <c r="J11" s="53" t="s">
        <v>112</v>
      </c>
      <c r="K11" s="53" t="s">
        <v>113</v>
      </c>
      <c r="L11" s="53" t="s">
        <v>114</v>
      </c>
      <c r="M11" s="53" t="s">
        <v>115</v>
      </c>
      <c r="N11" s="53" t="s">
        <v>116</v>
      </c>
      <c r="O11" s="53" t="s">
        <v>117</v>
      </c>
      <c r="P11" s="53" t="s">
        <v>118</v>
      </c>
      <c r="Q11" s="53" t="s">
        <v>119</v>
      </c>
      <c r="R11" s="53" t="s">
        <v>120</v>
      </c>
      <c r="S11" s="53" t="s">
        <v>121</v>
      </c>
      <c r="T11" s="53" t="s">
        <v>77</v>
      </c>
    </row>
    <row r="12" spans="1:22" x14ac:dyDescent="0.2">
      <c r="A12" s="8" t="s">
        <v>92</v>
      </c>
      <c r="B12" s="8">
        <v>216</v>
      </c>
      <c r="C12" s="8">
        <v>0</v>
      </c>
      <c r="D12" s="8">
        <v>0</v>
      </c>
      <c r="E12" s="8">
        <v>216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</row>
    <row r="13" spans="1:22" x14ac:dyDescent="0.2">
      <c r="A13" s="8" t="s">
        <v>93</v>
      </c>
      <c r="B13" s="8">
        <v>162.78</v>
      </c>
      <c r="C13" s="8">
        <v>3.6</v>
      </c>
      <c r="D13" s="8">
        <v>0</v>
      </c>
      <c r="E13" s="8">
        <v>46.3</v>
      </c>
      <c r="F13" s="8">
        <v>2.2999999999999998</v>
      </c>
      <c r="G13" s="8">
        <v>0</v>
      </c>
      <c r="H13" s="8">
        <v>1.05</v>
      </c>
      <c r="I13" s="8">
        <v>1.35</v>
      </c>
      <c r="J13" s="8">
        <v>0</v>
      </c>
      <c r="K13" s="8">
        <v>7.6</v>
      </c>
      <c r="L13" s="8">
        <v>12</v>
      </c>
      <c r="M13" s="8">
        <v>83.45</v>
      </c>
      <c r="N13" s="8">
        <v>5.13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</row>
    <row r="14" spans="1:22" x14ac:dyDescent="0.2">
      <c r="A14" s="8" t="s">
        <v>94</v>
      </c>
      <c r="B14" s="8">
        <v>63.6</v>
      </c>
      <c r="C14" s="8">
        <v>0</v>
      </c>
      <c r="D14" s="8">
        <v>61.8</v>
      </c>
      <c r="E14" s="8">
        <v>0</v>
      </c>
      <c r="F14" s="8">
        <v>0</v>
      </c>
      <c r="G14" s="8">
        <v>0.6</v>
      </c>
      <c r="H14" s="8">
        <v>0</v>
      </c>
      <c r="I14" s="8">
        <v>1.2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</row>
    <row r="15" spans="1:22" x14ac:dyDescent="0.2">
      <c r="A15" s="8" t="s">
        <v>95</v>
      </c>
      <c r="B15" s="8">
        <v>51.075000000000003</v>
      </c>
      <c r="C15" s="8">
        <v>0.9</v>
      </c>
      <c r="D15" s="8">
        <v>0</v>
      </c>
      <c r="E15" s="8">
        <v>22.8</v>
      </c>
      <c r="F15" s="8">
        <v>1.875</v>
      </c>
      <c r="G15" s="8">
        <v>0</v>
      </c>
      <c r="H15" s="8">
        <v>0</v>
      </c>
      <c r="I15" s="8">
        <v>0</v>
      </c>
      <c r="J15" s="8">
        <v>0</v>
      </c>
      <c r="K15" s="8">
        <v>1.8</v>
      </c>
      <c r="L15" s="8">
        <v>7.7</v>
      </c>
      <c r="M15" s="8">
        <v>16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</row>
    <row r="16" spans="1:22" x14ac:dyDescent="0.2">
      <c r="A16" s="8" t="s">
        <v>96</v>
      </c>
      <c r="B16" s="8">
        <v>35.454999999999998</v>
      </c>
      <c r="C16" s="8">
        <v>0</v>
      </c>
      <c r="D16" s="8">
        <v>0</v>
      </c>
      <c r="E16" s="8">
        <v>7.2</v>
      </c>
      <c r="F16" s="8">
        <v>0.375</v>
      </c>
      <c r="G16" s="8">
        <v>0</v>
      </c>
      <c r="H16" s="8">
        <v>1.8</v>
      </c>
      <c r="I16" s="8">
        <v>0.65</v>
      </c>
      <c r="J16" s="8">
        <v>0</v>
      </c>
      <c r="K16" s="8">
        <v>1.65</v>
      </c>
      <c r="L16" s="8">
        <v>7.2</v>
      </c>
      <c r="M16" s="8">
        <v>5.4</v>
      </c>
      <c r="N16" s="8">
        <v>0</v>
      </c>
      <c r="O16" s="8">
        <v>0</v>
      </c>
      <c r="P16" s="8">
        <v>0</v>
      </c>
      <c r="Q16" s="8">
        <v>0</v>
      </c>
      <c r="R16" s="8">
        <v>11.18</v>
      </c>
      <c r="S16" s="8">
        <v>0</v>
      </c>
      <c r="T16" s="8">
        <v>0</v>
      </c>
    </row>
    <row r="19" spans="1:18" x14ac:dyDescent="0.2">
      <c r="A19" s="8" t="s">
        <v>104</v>
      </c>
    </row>
    <row r="21" spans="1:18" x14ac:dyDescent="0.2">
      <c r="A21" s="53" t="s">
        <v>91</v>
      </c>
      <c r="B21" s="53" t="s">
        <v>97</v>
      </c>
      <c r="C21" s="53" t="s">
        <v>98</v>
      </c>
      <c r="D21" s="53" t="s">
        <v>99</v>
      </c>
      <c r="E21" s="53" t="s">
        <v>100</v>
      </c>
      <c r="F21" s="53" t="s">
        <v>101</v>
      </c>
      <c r="G21" s="53" t="s">
        <v>102</v>
      </c>
      <c r="H21" s="53" t="s">
        <v>30</v>
      </c>
      <c r="I21" s="55"/>
      <c r="J21" s="56"/>
      <c r="K21" s="55"/>
      <c r="L21" s="55"/>
      <c r="M21" s="55"/>
      <c r="N21" s="55"/>
      <c r="O21" s="56"/>
      <c r="P21" s="56"/>
      <c r="Q21" s="55"/>
      <c r="R21" s="56"/>
    </row>
    <row r="22" spans="1:18" x14ac:dyDescent="0.2">
      <c r="A22" s="8" t="s">
        <v>92</v>
      </c>
      <c r="B22" s="8">
        <v>36</v>
      </c>
      <c r="C22" s="8"/>
      <c r="D22" s="54"/>
      <c r="E22" s="54"/>
      <c r="F22" s="8"/>
      <c r="G22" s="8">
        <v>180</v>
      </c>
      <c r="H22" s="8">
        <v>216</v>
      </c>
      <c r="I22" s="57"/>
      <c r="J22" s="56"/>
      <c r="K22" s="58"/>
      <c r="L22" s="58"/>
      <c r="M22" s="57"/>
      <c r="N22" s="57"/>
      <c r="O22" s="56"/>
      <c r="P22" s="56"/>
      <c r="Q22" s="57"/>
      <c r="R22" s="56"/>
    </row>
    <row r="23" spans="1:18" x14ac:dyDescent="0.2">
      <c r="A23" s="8" t="s">
        <v>93</v>
      </c>
      <c r="B23" s="8">
        <v>2.7</v>
      </c>
      <c r="C23" s="8">
        <v>154.05000000000001</v>
      </c>
      <c r="D23" s="54">
        <v>5.13</v>
      </c>
      <c r="E23" s="54">
        <v>0.9</v>
      </c>
      <c r="F23" s="8"/>
      <c r="G23" s="54"/>
      <c r="H23" s="8">
        <v>162.78</v>
      </c>
      <c r="I23" s="57"/>
      <c r="J23" s="56"/>
      <c r="K23" s="58"/>
      <c r="L23" s="58"/>
      <c r="M23" s="57"/>
      <c r="N23" s="58"/>
      <c r="O23" s="56"/>
      <c r="P23" s="56"/>
      <c r="Q23" s="57"/>
      <c r="R23" s="56"/>
    </row>
    <row r="24" spans="1:18" x14ac:dyDescent="0.2">
      <c r="A24" s="8" t="s">
        <v>94</v>
      </c>
      <c r="B24" s="8"/>
      <c r="C24" s="8">
        <v>63.6</v>
      </c>
      <c r="D24" s="54"/>
      <c r="E24" s="54"/>
      <c r="F24" s="8"/>
      <c r="G24" s="54"/>
      <c r="H24" s="8">
        <v>63.6</v>
      </c>
      <c r="I24" s="57"/>
      <c r="J24" s="56"/>
      <c r="K24" s="58"/>
      <c r="L24" s="58"/>
      <c r="M24" s="57"/>
      <c r="N24" s="58"/>
      <c r="O24" s="56"/>
      <c r="P24" s="56"/>
      <c r="Q24" s="57"/>
      <c r="R24" s="56"/>
    </row>
    <row r="25" spans="1:18" x14ac:dyDescent="0.2">
      <c r="A25" s="8" t="s">
        <v>95</v>
      </c>
      <c r="B25" s="8"/>
      <c r="C25" s="8">
        <v>27.375</v>
      </c>
      <c r="D25" s="54"/>
      <c r="E25" s="54"/>
      <c r="F25" s="8"/>
      <c r="G25" s="8">
        <v>23.7</v>
      </c>
      <c r="H25" s="8">
        <v>51.075000000000003</v>
      </c>
      <c r="I25" s="57"/>
      <c r="J25" s="56"/>
      <c r="K25" s="58"/>
      <c r="L25" s="58"/>
      <c r="M25" s="57"/>
      <c r="N25" s="57"/>
      <c r="O25" s="56"/>
      <c r="P25" s="56"/>
      <c r="Q25" s="57"/>
      <c r="R25" s="56"/>
    </row>
    <row r="26" spans="1:18" x14ac:dyDescent="0.2">
      <c r="A26" s="8" t="s">
        <v>96</v>
      </c>
      <c r="B26" s="8">
        <v>0.8</v>
      </c>
      <c r="C26" s="8"/>
      <c r="D26" s="54"/>
      <c r="E26" s="54"/>
      <c r="F26" s="8">
        <v>34.655000000000001</v>
      </c>
      <c r="G26" s="54"/>
      <c r="H26" s="8">
        <v>35.454999999999998</v>
      </c>
      <c r="I26" s="57"/>
      <c r="J26" s="56"/>
      <c r="K26" s="58"/>
      <c r="L26" s="58"/>
      <c r="M26" s="57"/>
      <c r="N26" s="58"/>
      <c r="O26" s="56"/>
      <c r="P26" s="56"/>
      <c r="Q26" s="57"/>
      <c r="R26" s="56"/>
    </row>
    <row r="27" spans="1:18" x14ac:dyDescent="0.2">
      <c r="I27" s="56"/>
      <c r="J27" s="56"/>
      <c r="K27" s="56"/>
      <c r="L27" s="56"/>
      <c r="M27" s="56"/>
      <c r="N27" s="56"/>
      <c r="O27" s="56"/>
      <c r="P27" s="56"/>
      <c r="Q27" s="56"/>
      <c r="R27" s="5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C834-427B-BA49-B845-305D612514AF}">
  <sheetPr>
    <tabColor rgb="FF0070C0"/>
  </sheetPr>
  <dimension ref="A1:T30"/>
  <sheetViews>
    <sheetView tabSelected="1" workbookViewId="0">
      <selection activeCell="J27" sqref="J27"/>
    </sheetView>
  </sheetViews>
  <sheetFormatPr baseColWidth="10" defaultRowHeight="16" x14ac:dyDescent="0.2"/>
  <cols>
    <col min="1" max="1" width="22.83203125" bestFit="1" customWidth="1"/>
  </cols>
  <sheetData>
    <row r="1" spans="1:20" s="63" customFormat="1" x14ac:dyDescent="0.2">
      <c r="A1" s="63" t="str">
        <f>IF(Project!A1&gt;0,Project!A1,"")</f>
        <v>Group</v>
      </c>
      <c r="B1" s="63" t="str">
        <f>IF(Project!B1&gt;0,Project!B1,"")</f>
        <v>JAN</v>
      </c>
      <c r="C1" s="63" t="str">
        <f>IF(Project!C1&gt;0,Project!C1,"")</f>
        <v>FEB</v>
      </c>
      <c r="D1" s="63" t="str">
        <f>IF(Project!D1&gt;0,Project!D1,"")</f>
        <v>MAR</v>
      </c>
      <c r="E1" s="63" t="str">
        <f>IF(Project!E1&gt;0,Project!E1,"")</f>
        <v>APR</v>
      </c>
      <c r="F1" s="63" t="str">
        <f>IF(Project!F1&gt;0,Project!F1,"")</f>
        <v>MAY</v>
      </c>
      <c r="G1" s="63" t="str">
        <f>IF(Project!G1&gt;0,Project!G1,"")</f>
        <v>JUN</v>
      </c>
      <c r="H1" s="63" t="str">
        <f>IF(Project!H1&gt;0,Project!H1,"")</f>
        <v>JUL</v>
      </c>
      <c r="I1" s="63" t="str">
        <f>IF(Project!I1&gt;0,Project!I1,"")</f>
        <v>AUG</v>
      </c>
      <c r="J1" s="63" t="str">
        <f>IF(Project!J1&gt;0,Project!J1,"")</f>
        <v>SEP</v>
      </c>
      <c r="K1" s="63" t="str">
        <f>IF(Project!K1&gt;0,Project!K1,"")</f>
        <v>OCT</v>
      </c>
      <c r="L1" s="63" t="str">
        <f>IF(Project!L1&gt;0,Project!L1,"")</f>
        <v>NOV</v>
      </c>
      <c r="M1" s="63" t="str">
        <f>IF(Project!M1&gt;0,Project!M1,"")</f>
        <v>DEC</v>
      </c>
      <c r="N1" s="63" t="str">
        <f>IF(Project!N1&gt;0,Project!N1,"")</f>
        <v>JAN'27</v>
      </c>
      <c r="O1" s="63" t="str">
        <f>IF(Project!O1&gt;0,Project!O1,"")</f>
        <v>FEB'27</v>
      </c>
      <c r="P1" s="63" t="str">
        <f>IF(Project!P1&gt;0,Project!P1,"")</f>
        <v>MAR'27</v>
      </c>
      <c r="Q1" s="63" t="str">
        <f>IF(Project!Q1&gt;0,Project!Q1,"")</f>
        <v/>
      </c>
      <c r="R1" s="63" t="str">
        <f>IF(Project!R1&gt;0,Project!R1,"")</f>
        <v/>
      </c>
      <c r="S1" s="63" t="str">
        <f>IF(Project!S1&gt;0,Project!S1,"")</f>
        <v/>
      </c>
      <c r="T1" s="63" t="str">
        <f>IF(Project!T1&gt;0,Project!T1,"")</f>
        <v/>
      </c>
    </row>
    <row r="2" spans="1:20" x14ac:dyDescent="0.2">
      <c r="A2" t="str">
        <f>IF(Project!A2&gt;0,Project!A2,"")</f>
        <v>GINII</v>
      </c>
      <c r="B2">
        <f>IF(Project!B2&gt;0,Project!B2,"")</f>
        <v>2.46</v>
      </c>
      <c r="C2">
        <f>IF(Project!C2&gt;0,Project!C2,"")</f>
        <v>2.4649999999999999</v>
      </c>
      <c r="D2">
        <f>IF(Project!D2&gt;0,Project!D2,"")</f>
        <v>2.4649999999999999</v>
      </c>
      <c r="E2">
        <f>IF(Project!E2&gt;0,Project!E2,"")</f>
        <v>1.95</v>
      </c>
      <c r="F2">
        <f>IF(Project!F2&gt;0,Project!F2,"")</f>
        <v>2.2999999999999998</v>
      </c>
      <c r="G2">
        <f>IF(Project!G2&gt;0,Project!G2,"")</f>
        <v>3.2</v>
      </c>
      <c r="H2">
        <f>IF(Project!H2&gt;0,Project!H2,"")</f>
        <v>2.9</v>
      </c>
      <c r="I2">
        <f>IF(Project!I2&gt;0,Project!I2,"")</f>
        <v>2.7749999999999999</v>
      </c>
      <c r="J2">
        <f>IF(Project!J2&gt;0,Project!J2,"")</f>
        <v>2.7749999999999999</v>
      </c>
      <c r="K2">
        <f>IF(Project!K2&gt;0,Project!K2,"")</f>
        <v>2.6124999999999998</v>
      </c>
      <c r="L2">
        <f>IF(Project!L2&gt;0,Project!L2,"")</f>
        <v>2.6124999999999998</v>
      </c>
      <c r="M2">
        <f>IF(Project!M2&gt;0,Project!M2,"")</f>
        <v>2.6124999999999998</v>
      </c>
      <c r="N2">
        <f>IF(Project!N2&gt;0,Project!N2,"")</f>
        <v>0.80249999999999999</v>
      </c>
      <c r="O2">
        <f>IF(Project!O2&gt;0,Project!O2,"")</f>
        <v>0.80249999999999999</v>
      </c>
      <c r="P2">
        <f>IF(Project!P2&gt;0,Project!P2,"")</f>
        <v>0.80249999999999999</v>
      </c>
      <c r="Q2" t="str">
        <f>IF(Project!Q2&gt;0,Project!Q2,"")</f>
        <v/>
      </c>
      <c r="R2" t="str">
        <f>IF(Project!R2&gt;0,Project!R2,"")</f>
        <v/>
      </c>
      <c r="S2" t="str">
        <f>IF(Project!S2&gt;0,Project!S2,"")</f>
        <v/>
      </c>
      <c r="T2" t="str">
        <f>IF(Project!T2&gt;0,Project!T2,"")</f>
        <v/>
      </c>
    </row>
    <row r="3" spans="1:20" x14ac:dyDescent="0.2">
      <c r="A3" t="str">
        <f>IF(Project!A3&gt;0,Project!A3,"")</f>
        <v>Industrial Solutions</v>
      </c>
      <c r="B3">
        <f>IF(Project!B3&gt;0,Project!B3,"")</f>
        <v>3.37</v>
      </c>
      <c r="C3">
        <f>IF(Project!C3&gt;0,Project!C3,"")</f>
        <v>2.77</v>
      </c>
      <c r="D3">
        <f>IF(Project!D3&gt;0,Project!D3,"")</f>
        <v>2.59</v>
      </c>
      <c r="E3">
        <f>IF(Project!E3&gt;0,Project!E3,"")</f>
        <v>2.08</v>
      </c>
      <c r="F3">
        <f>IF(Project!F3&gt;0,Project!F3,"")</f>
        <v>2.13</v>
      </c>
      <c r="G3">
        <f>IF(Project!G3&gt;0,Project!G3,"")</f>
        <v>1.75</v>
      </c>
      <c r="H3">
        <f>IF(Project!H3&gt;0,Project!H3,"")</f>
        <v>2</v>
      </c>
      <c r="I3">
        <f>IF(Project!I3&gt;0,Project!I3,"")</f>
        <v>2</v>
      </c>
      <c r="J3">
        <f>IF(Project!J3&gt;0,Project!J3,"")</f>
        <v>2</v>
      </c>
      <c r="K3">
        <f>IF(Project!K3&gt;0,Project!K3,"")</f>
        <v>2</v>
      </c>
      <c r="L3">
        <f>IF(Project!L3&gt;0,Project!L3,"")</f>
        <v>2</v>
      </c>
      <c r="M3">
        <f>IF(Project!M3&gt;0,Project!M3,"")</f>
        <v>2</v>
      </c>
      <c r="N3">
        <f>IF(Project!N3&gt;0,Project!N3,"")</f>
        <v>1.55</v>
      </c>
      <c r="O3">
        <f>IF(Project!O3&gt;0,Project!O3,"")</f>
        <v>1.55</v>
      </c>
      <c r="P3">
        <f>IF(Project!P3&gt;0,Project!P3,"")</f>
        <v>1.55</v>
      </c>
      <c r="Q3" t="str">
        <f>IF(Project!Q3&gt;0,Project!Q3,"")</f>
        <v/>
      </c>
      <c r="R3" t="str">
        <f>IF(Project!R3&gt;0,Project!R3,"")</f>
        <v/>
      </c>
      <c r="S3" t="str">
        <f>IF(Project!S3&gt;0,Project!S3,"")</f>
        <v/>
      </c>
      <c r="T3" t="str">
        <f>IF(Project!T3&gt;0,Project!T3,"")</f>
        <v/>
      </c>
    </row>
    <row r="4" spans="1:20" x14ac:dyDescent="0.2">
      <c r="A4" t="str">
        <f>IF(Project!A4&gt;0,Project!A4,"")</f>
        <v>RGUARD</v>
      </c>
      <c r="B4">
        <f>IF(Project!B4&gt;0,Project!B4,"")</f>
        <v>1.75</v>
      </c>
      <c r="C4">
        <f>IF(Project!C4&gt;0,Project!C4,"")</f>
        <v>1.1000000000000001</v>
      </c>
      <c r="D4">
        <f>IF(Project!D4&gt;0,Project!D4,"")</f>
        <v>1.2749999999999999</v>
      </c>
      <c r="E4">
        <f>IF(Project!E4&gt;0,Project!E4,"")</f>
        <v>0.95</v>
      </c>
      <c r="F4">
        <f>IF(Project!F4&gt;0,Project!F4,"")</f>
        <v>0.8</v>
      </c>
      <c r="G4">
        <f>IF(Project!G4&gt;0,Project!G4,"")</f>
        <v>0.6</v>
      </c>
      <c r="H4">
        <f>IF(Project!H4&gt;0,Project!H4,"")</f>
        <v>0.5</v>
      </c>
      <c r="I4">
        <f>IF(Project!I4&gt;0,Project!I4,"")</f>
        <v>0.5</v>
      </c>
      <c r="J4">
        <f>IF(Project!J4&gt;0,Project!J4,"")</f>
        <v>0.5</v>
      </c>
      <c r="K4">
        <f>IF(Project!K4&gt;0,Project!K4,"")</f>
        <v>0.5</v>
      </c>
      <c r="L4">
        <f>IF(Project!L4&gt;0,Project!L4,"")</f>
        <v>0.5</v>
      </c>
      <c r="M4">
        <f>IF(Project!M4&gt;0,Project!M4,"")</f>
        <v>0.5</v>
      </c>
      <c r="N4">
        <f>IF(Project!N4&gt;0,Project!N4,"")</f>
        <v>0.5</v>
      </c>
      <c r="O4">
        <f>IF(Project!O4&gt;0,Project!O4,"")</f>
        <v>0.5</v>
      </c>
      <c r="P4">
        <f>IF(Project!P4&gt;0,Project!P4,"")</f>
        <v>0.5</v>
      </c>
      <c r="Q4" t="str">
        <f>IF(Project!Q4&gt;0,Project!Q4,"")</f>
        <v/>
      </c>
      <c r="R4" t="str">
        <f>IF(Project!R4&gt;0,Project!R4,"")</f>
        <v/>
      </c>
      <c r="S4" t="str">
        <f>IF(Project!S4&gt;0,Project!S4,"")</f>
        <v/>
      </c>
      <c r="T4" t="str">
        <f>IF(Project!T4&gt;0,Project!T4,"")</f>
        <v/>
      </c>
    </row>
    <row r="5" spans="1:20" x14ac:dyDescent="0.2">
      <c r="A5" t="str">
        <f>IF(Project!A5&gt;0,Project!A5,"")</f>
        <v>SARA</v>
      </c>
      <c r="B5">
        <f>IF(Project!B5&gt;0,Project!B5,"")</f>
        <v>3.2650000000000001</v>
      </c>
      <c r="C5">
        <f>IF(Project!C5&gt;0,Project!C5,"")</f>
        <v>3.165</v>
      </c>
      <c r="D5">
        <f>IF(Project!D5&gt;0,Project!D5,"")</f>
        <v>3.0649999999999999</v>
      </c>
      <c r="E5">
        <f>IF(Project!E5&gt;0,Project!E5,"")</f>
        <v>2.7250000000000001</v>
      </c>
      <c r="F5">
        <f>IF(Project!F5&gt;0,Project!F5,"")</f>
        <v>2.875</v>
      </c>
      <c r="G5">
        <f>IF(Project!G5&gt;0,Project!G5,"")</f>
        <v>3.46</v>
      </c>
      <c r="H5">
        <f>IF(Project!H5&gt;0,Project!H5,"")</f>
        <v>2.6850000000000001</v>
      </c>
      <c r="I5">
        <f>IF(Project!I5&gt;0,Project!I5,"")</f>
        <v>2.9849999999999999</v>
      </c>
      <c r="J5">
        <f>IF(Project!J5&gt;0,Project!J5,"")</f>
        <v>2.9849999999999999</v>
      </c>
      <c r="K5">
        <f>IF(Project!K5&gt;0,Project!K5,"")</f>
        <v>2.9224999999999999</v>
      </c>
      <c r="L5">
        <f>IF(Project!L5&gt;0,Project!L5,"")</f>
        <v>2.9224999999999999</v>
      </c>
      <c r="M5">
        <f>IF(Project!M5&gt;0,Project!M5,"")</f>
        <v>2.9224999999999999</v>
      </c>
      <c r="N5">
        <f>IF(Project!N5&gt;0,Project!N5,"")</f>
        <v>2.81</v>
      </c>
      <c r="O5">
        <f>IF(Project!O5&gt;0,Project!O5,"")</f>
        <v>2.81</v>
      </c>
      <c r="P5">
        <f>IF(Project!P5&gt;0,Project!P5,"")</f>
        <v>2.81</v>
      </c>
      <c r="Q5" t="str">
        <f>IF(Project!Q5&gt;0,Project!Q5,"")</f>
        <v/>
      </c>
      <c r="R5" t="str">
        <f>IF(Project!R5&gt;0,Project!R5,"")</f>
        <v/>
      </c>
      <c r="S5" t="str">
        <f>IF(Project!S5&gt;0,Project!S5,"")</f>
        <v/>
      </c>
      <c r="T5" t="str">
        <f>IF(Project!T5&gt;0,Project!T5,"")</f>
        <v/>
      </c>
    </row>
    <row r="6" spans="1:20" x14ac:dyDescent="0.2">
      <c r="A6" t="str">
        <f>IF(Project!A6&gt;0,Project!A6,"")</f>
        <v>WeShape</v>
      </c>
      <c r="B6">
        <f>IF(Project!B6&gt;0,Project!B6,"")</f>
        <v>3.25</v>
      </c>
      <c r="C6">
        <f>IF(Project!C6&gt;0,Project!C6,"")</f>
        <v>3.625</v>
      </c>
      <c r="D6">
        <f>IF(Project!D6&gt;0,Project!D6,"")</f>
        <v>3.67</v>
      </c>
      <c r="E6">
        <f>IF(Project!E6&gt;0,Project!E6,"")</f>
        <v>3.4824999999999999</v>
      </c>
      <c r="F6">
        <f>IF(Project!F6&gt;0,Project!F6,"")</f>
        <v>2.9824999999999999</v>
      </c>
      <c r="G6">
        <f>IF(Project!G6&gt;0,Project!G6,"")</f>
        <v>2.9874999999999998</v>
      </c>
      <c r="H6">
        <f>IF(Project!H6&gt;0,Project!H6,"")</f>
        <v>2.3125</v>
      </c>
      <c r="I6">
        <f>IF(Project!I6&gt;0,Project!I6,"")</f>
        <v>2.2124999999999999</v>
      </c>
      <c r="J6">
        <f>IF(Project!J6&gt;0,Project!J6,"")</f>
        <v>3.1124999999999998</v>
      </c>
      <c r="K6">
        <f>IF(Project!K6&gt;0,Project!K6,"")</f>
        <v>3.1124999999999998</v>
      </c>
      <c r="L6">
        <f>IF(Project!L6&gt;0,Project!L6,"")</f>
        <v>3.1124999999999998</v>
      </c>
      <c r="M6">
        <f>IF(Project!M6&gt;0,Project!M6,"")</f>
        <v>3.1124999999999998</v>
      </c>
      <c r="N6">
        <f>IF(Project!N6&gt;0,Project!N6,"")</f>
        <v>3.05</v>
      </c>
      <c r="O6">
        <f>IF(Project!O6&gt;0,Project!O6,"")</f>
        <v>3.05</v>
      </c>
      <c r="P6">
        <f>IF(Project!P6&gt;0,Project!P6,"")</f>
        <v>3.05</v>
      </c>
      <c r="Q6" t="str">
        <f>IF(Project!Q6&gt;0,Project!Q6,"")</f>
        <v/>
      </c>
      <c r="R6" t="str">
        <f>IF(Project!R6&gt;0,Project!R6,"")</f>
        <v/>
      </c>
      <c r="S6" t="str">
        <f>IF(Project!S6&gt;0,Project!S6,"")</f>
        <v/>
      </c>
      <c r="T6" t="str">
        <f>IF(Project!T6&gt;0,Project!T6,"")</f>
        <v/>
      </c>
    </row>
    <row r="7" spans="1:20" x14ac:dyDescent="0.2">
      <c r="A7" t="str">
        <f>IF(Project!A7&gt;0,Project!A7,"")</f>
        <v/>
      </c>
      <c r="B7" t="str">
        <f>IF(Project!B7&gt;0,Project!B7,"")</f>
        <v/>
      </c>
      <c r="C7" t="str">
        <f>IF(Project!C7&gt;0,Project!C7,"")</f>
        <v/>
      </c>
      <c r="D7" t="str">
        <f>IF(Project!D7&gt;0,Project!D7,"")</f>
        <v/>
      </c>
      <c r="E7" t="str">
        <f>IF(Project!E7&gt;0,Project!E7,"")</f>
        <v/>
      </c>
      <c r="F7" t="str">
        <f>IF(Project!F7&gt;0,Project!F7,"")</f>
        <v/>
      </c>
      <c r="G7" t="str">
        <f>IF(Project!G7&gt;0,Project!G7,"")</f>
        <v/>
      </c>
      <c r="H7" t="str">
        <f>IF(Project!H7&gt;0,Project!H7,"")</f>
        <v/>
      </c>
      <c r="I7" t="str">
        <f>IF(Project!I7&gt;0,Project!I7,"")</f>
        <v/>
      </c>
      <c r="J7" t="str">
        <f>IF(Project!J7&gt;0,Project!J7,"")</f>
        <v/>
      </c>
      <c r="K7" t="str">
        <f>IF(Project!K7&gt;0,Project!K7,"")</f>
        <v/>
      </c>
      <c r="L7" t="str">
        <f>IF(Project!L7&gt;0,Project!L7,"")</f>
        <v/>
      </c>
      <c r="M7" t="str">
        <f>IF(Project!M7&gt;0,Project!M7,"")</f>
        <v/>
      </c>
      <c r="N7" t="str">
        <f>IF(Project!N7&gt;0,Project!N7,"")</f>
        <v/>
      </c>
      <c r="O7" t="str">
        <f>IF(Project!O7&gt;0,Project!O7,"")</f>
        <v/>
      </c>
      <c r="P7" t="str">
        <f>IF(Project!P7&gt;0,Project!P7,"")</f>
        <v/>
      </c>
      <c r="Q7" t="str">
        <f>IF(Project!Q7&gt;0,Project!Q7,"")</f>
        <v/>
      </c>
      <c r="R7" t="str">
        <f>IF(Project!R7&gt;0,Project!R7,"")</f>
        <v/>
      </c>
      <c r="S7" t="str">
        <f>IF(Project!S7&gt;0,Project!S7,"")</f>
        <v/>
      </c>
      <c r="T7" t="str">
        <f>IF(Project!T7&gt;0,Project!T7,"")</f>
        <v/>
      </c>
    </row>
    <row r="8" spans="1:20" x14ac:dyDescent="0.2">
      <c r="A8" t="str">
        <f>IF(Project!A8&gt;0,Project!A8,"")</f>
        <v/>
      </c>
      <c r="B8" t="str">
        <f>IF(Project!B8&gt;0,Project!B8,"")</f>
        <v/>
      </c>
      <c r="C8" t="str">
        <f>IF(Project!C8&gt;0,Project!C8,"")</f>
        <v/>
      </c>
      <c r="D8" t="str">
        <f>IF(Project!D8&gt;0,Project!D8,"")</f>
        <v/>
      </c>
      <c r="E8" t="str">
        <f>IF(Project!E8&gt;0,Project!E8,"")</f>
        <v/>
      </c>
      <c r="F8" t="str">
        <f>IF(Project!F8&gt;0,Project!F8,"")</f>
        <v/>
      </c>
      <c r="G8" t="str">
        <f>IF(Project!G8&gt;0,Project!G8,"")</f>
        <v/>
      </c>
      <c r="H8" t="str">
        <f>IF(Project!H8&gt;0,Project!H8,"")</f>
        <v/>
      </c>
      <c r="I8" t="str">
        <f>IF(Project!I8&gt;0,Project!I8,"")</f>
        <v/>
      </c>
      <c r="J8" t="str">
        <f>IF(Project!J8&gt;0,Project!J8,"")</f>
        <v/>
      </c>
      <c r="K8" t="str">
        <f>IF(Project!K8&gt;0,Project!K8,"")</f>
        <v/>
      </c>
      <c r="L8" t="str">
        <f>IF(Project!L8&gt;0,Project!L8,"")</f>
        <v/>
      </c>
      <c r="M8" t="str">
        <f>IF(Project!M8&gt;0,Project!M8,"")</f>
        <v/>
      </c>
      <c r="N8" t="str">
        <f>IF(Project!N8&gt;0,Project!N8,"")</f>
        <v/>
      </c>
      <c r="O8" t="str">
        <f>IF(Project!O8&gt;0,Project!O8,"")</f>
        <v/>
      </c>
      <c r="P8" t="str">
        <f>IF(Project!P8&gt;0,Project!P8,"")</f>
        <v/>
      </c>
      <c r="Q8" t="str">
        <f>IF(Project!Q8&gt;0,Project!Q8,"")</f>
        <v/>
      </c>
      <c r="R8" t="str">
        <f>IF(Project!R8&gt;0,Project!R8,"")</f>
        <v/>
      </c>
      <c r="S8" t="str">
        <f>IF(Project!S8&gt;0,Project!S8,"")</f>
        <v/>
      </c>
      <c r="T8" t="str">
        <f>IF(Project!T8&gt;0,Project!T8,"")</f>
        <v/>
      </c>
    </row>
    <row r="9" spans="1:20" x14ac:dyDescent="0.2">
      <c r="A9" s="63" t="str">
        <f>IF(Project!A9&gt;0,Project!A9,"")</f>
        <v>Project by Team</v>
      </c>
      <c r="B9" t="str">
        <f>IF(Project!B9&gt;0,Project!B9,"")</f>
        <v/>
      </c>
      <c r="C9" t="str">
        <f>IF(Project!C9&gt;0,Project!C9,"")</f>
        <v/>
      </c>
      <c r="D9" t="str">
        <f>IF(Project!D9&gt;0,Project!D9,"")</f>
        <v/>
      </c>
      <c r="E9" t="str">
        <f>IF(Project!E9&gt;0,Project!E9,"")</f>
        <v/>
      </c>
      <c r="F9" t="str">
        <f>IF(Project!F9&gt;0,Project!F9,"")</f>
        <v/>
      </c>
      <c r="G9" t="str">
        <f>IF(Project!G9&gt;0,Project!G9,"")</f>
        <v/>
      </c>
      <c r="H9" t="str">
        <f>IF(Project!H9&gt;0,Project!H9,"")</f>
        <v/>
      </c>
      <c r="I9" t="str">
        <f>IF(Project!I9&gt;0,Project!I9,"")</f>
        <v/>
      </c>
      <c r="J9" t="str">
        <f>IF(Project!J9&gt;0,Project!J9,"")</f>
        <v/>
      </c>
      <c r="K9" t="str">
        <f>IF(Project!K9&gt;0,Project!K9,"")</f>
        <v/>
      </c>
      <c r="L9" t="str">
        <f>IF(Project!L9&gt;0,Project!L9,"")</f>
        <v/>
      </c>
      <c r="M9" t="str">
        <f>IF(Project!M9&gt;0,Project!M9,"")</f>
        <v/>
      </c>
      <c r="N9" t="str">
        <f>IF(Project!N9&gt;0,Project!N9,"")</f>
        <v/>
      </c>
      <c r="O9" t="str">
        <f>IF(Project!O9&gt;0,Project!O9,"")</f>
        <v/>
      </c>
      <c r="P9" t="str">
        <f>IF(Project!P9&gt;0,Project!P9,"")</f>
        <v/>
      </c>
      <c r="Q9" t="str">
        <f>IF(Project!Q9&gt;0,Project!Q9,"")</f>
        <v/>
      </c>
      <c r="R9" t="str">
        <f>IF(Project!R9&gt;0,Project!R9,"")</f>
        <v/>
      </c>
      <c r="S9" t="str">
        <f>IF(Project!S9&gt;0,Project!S9,"")</f>
        <v/>
      </c>
      <c r="T9" t="str">
        <f>IF(Project!T9&gt;0,Project!T9,"")</f>
        <v/>
      </c>
    </row>
    <row r="10" spans="1:20" x14ac:dyDescent="0.2">
      <c r="A10" t="str">
        <f>IF(Project!A10&gt;0,Project!A10,"")</f>
        <v/>
      </c>
      <c r="B10" t="str">
        <f>IF(Project!B10&gt;0,Project!B10,"")</f>
        <v/>
      </c>
      <c r="C10" t="str">
        <f>IF(Project!C10&gt;0,Project!C10,"")</f>
        <v/>
      </c>
      <c r="D10" t="str">
        <f>IF(Project!D10&gt;0,Project!D10,"")</f>
        <v/>
      </c>
      <c r="E10" t="str">
        <f>IF(Project!E10&gt;0,Project!E10,"")</f>
        <v/>
      </c>
      <c r="F10" t="str">
        <f>IF(Project!F10&gt;0,Project!F10,"")</f>
        <v/>
      </c>
      <c r="G10" t="str">
        <f>IF(Project!G10&gt;0,Project!G10,"")</f>
        <v/>
      </c>
      <c r="H10" t="str">
        <f>IF(Project!H10&gt;0,Project!H10,"")</f>
        <v/>
      </c>
      <c r="I10" t="str">
        <f>IF(Project!I10&gt;0,Project!I10,"")</f>
        <v/>
      </c>
      <c r="J10" t="str">
        <f>IF(Project!J10&gt;0,Project!J10,"")</f>
        <v/>
      </c>
      <c r="K10" t="str">
        <f>IF(Project!K10&gt;0,Project!K10,"")</f>
        <v/>
      </c>
      <c r="L10" t="str">
        <f>IF(Project!L10&gt;0,Project!L10,"")</f>
        <v/>
      </c>
      <c r="M10" t="str">
        <f>IF(Project!M10&gt;0,Project!M10,"")</f>
        <v/>
      </c>
      <c r="N10" t="str">
        <f>IF(Project!N10&gt;0,Project!N10,"")</f>
        <v/>
      </c>
      <c r="O10" t="str">
        <f>IF(Project!O10&gt;0,Project!O10,"")</f>
        <v/>
      </c>
      <c r="P10" t="str">
        <f>IF(Project!P10&gt;0,Project!P10,"")</f>
        <v/>
      </c>
      <c r="Q10" t="str">
        <f>IF(Project!Q10&gt;0,Project!Q10,"")</f>
        <v/>
      </c>
      <c r="R10" t="str">
        <f>IF(Project!R10&gt;0,Project!R10,"")</f>
        <v/>
      </c>
      <c r="S10" t="str">
        <f>IF(Project!S10&gt;0,Project!S10,"")</f>
        <v/>
      </c>
      <c r="T10" t="str">
        <f>IF(Project!T10&gt;0,Project!T10,"")</f>
        <v/>
      </c>
    </row>
    <row r="11" spans="1:20" s="63" customFormat="1" x14ac:dyDescent="0.2">
      <c r="A11" s="63" t="str">
        <f>IF(Project!A11&gt;0,Project!A11,"")</f>
        <v>Group Name</v>
      </c>
      <c r="B11" s="63" t="str">
        <f>IF(Project!B11&gt;0,Project!B11,"")</f>
        <v>Total</v>
      </c>
      <c r="C11" s="63" t="str">
        <f>IF(Project!C11&gt;0,Project!C11,"")</f>
        <v>CPS</v>
      </c>
      <c r="D11" s="63" t="str">
        <f>IF(Project!D11&gt;0,Project!D11,"")</f>
        <v>PSE-PE</v>
      </c>
      <c r="E11" s="63" t="str">
        <f>IF(Project!E11&gt;0,Project!E11,"")</f>
        <v>PSE-SE</v>
      </c>
      <c r="F11" s="63" t="str">
        <f>IF(Project!F11&gt;0,Project!F11,"")</f>
        <v>SD-Design</v>
      </c>
      <c r="G11" s="63" t="str">
        <f>IF(Project!G11&gt;0,Project!G11,"")</f>
        <v>SD-Data</v>
      </c>
      <c r="H11" s="63" t="str">
        <f>IF(Project!H11&gt;0,Project!H11,"")</f>
        <v>SD-SA</v>
      </c>
      <c r="I11" s="63" t="str">
        <f>IF(Project!I11&gt;0,Project!I11,"")</f>
        <v>SD-SRE</v>
      </c>
      <c r="J11" s="63" t="str">
        <f>IF(Project!J11&gt;0,Project!J11,"")</f>
        <v>SD-CyberSec</v>
      </c>
      <c r="K11" s="63" t="str">
        <f>IF(Project!K11&gt;0,Project!K11,"")</f>
        <v>SD-PM</v>
      </c>
      <c r="L11" s="63" t="str">
        <f>IF(Project!L11&gt;0,Project!L11,"")</f>
        <v>SD-BA</v>
      </c>
      <c r="M11" s="63" t="str">
        <f>IF(Project!M11&gt;0,Project!M11,"")</f>
        <v>SD-QA</v>
      </c>
      <c r="N11" s="63" t="str">
        <f>IF(Project!N11&gt;0,Project!N11,"")</f>
        <v>SD-TM</v>
      </c>
      <c r="O11" s="63" t="str">
        <f>IF(Project!O11&gt;0,Project!O11,"")</f>
        <v>AIC-AI</v>
      </c>
      <c r="P11" s="63" t="str">
        <f>IF(Project!P11&gt;0,Project!P11,"")</f>
        <v>AIC-AIE</v>
      </c>
      <c r="Q11" s="63" t="str">
        <f>IF(Project!Q11&gt;0,Project!Q11,"")</f>
        <v>AIC-IoT</v>
      </c>
      <c r="R11" s="63" t="str">
        <f>IF(Project!R11&gt;0,Project!R11,"")</f>
        <v>AIC-SAI</v>
      </c>
      <c r="S11" s="63" t="str">
        <f>IF(Project!S11&gt;0,Project!S11,"")</f>
        <v>AIC-PSI</v>
      </c>
      <c r="T11" s="63" t="str">
        <f>IF(Project!T11&gt;0,Project!T11,"")</f>
        <v>TDE</v>
      </c>
    </row>
    <row r="12" spans="1:20" x14ac:dyDescent="0.2">
      <c r="A12" t="str">
        <f>IF(Project!A12&gt;0,Project!A12,"")</f>
        <v>IT Dist</v>
      </c>
      <c r="B12">
        <f>IF(Project!B12&gt;0,Project!B12,"")</f>
        <v>216</v>
      </c>
      <c r="C12" t="str">
        <f>IF(Project!C12&gt;0,Project!C12,"")</f>
        <v/>
      </c>
      <c r="D12" t="str">
        <f>IF(Project!D12&gt;0,Project!D12,"")</f>
        <v/>
      </c>
      <c r="E12">
        <f>IF(Project!E12&gt;0,Project!E12,"")</f>
        <v>216</v>
      </c>
      <c r="F12" t="str">
        <f>IF(Project!F12&gt;0,Project!F12,"")</f>
        <v/>
      </c>
      <c r="G12" t="str">
        <f>IF(Project!G12&gt;0,Project!G12,"")</f>
        <v/>
      </c>
      <c r="H12" t="str">
        <f>IF(Project!H12&gt;0,Project!H12,"")</f>
        <v/>
      </c>
      <c r="I12" t="str">
        <f>IF(Project!I12&gt;0,Project!I12,"")</f>
        <v/>
      </c>
      <c r="J12" t="str">
        <f>IF(Project!J12&gt;0,Project!J12,"")</f>
        <v/>
      </c>
      <c r="K12" t="str">
        <f>IF(Project!K12&gt;0,Project!K12,"")</f>
        <v/>
      </c>
      <c r="L12" t="str">
        <f>IF(Project!L12&gt;0,Project!L12,"")</f>
        <v/>
      </c>
      <c r="M12" t="str">
        <f>IF(Project!M12&gt;0,Project!M12,"")</f>
        <v/>
      </c>
      <c r="N12" t="str">
        <f>IF(Project!N12&gt;0,Project!N12,"")</f>
        <v/>
      </c>
      <c r="O12" t="str">
        <f>IF(Project!O12&gt;0,Project!O12,"")</f>
        <v/>
      </c>
      <c r="P12" t="str">
        <f>IF(Project!P12&gt;0,Project!P12,"")</f>
        <v/>
      </c>
      <c r="Q12" t="str">
        <f>IF(Project!Q12&gt;0,Project!Q12,"")</f>
        <v/>
      </c>
      <c r="R12" t="str">
        <f>IF(Project!R12&gt;0,Project!R12,"")</f>
        <v/>
      </c>
      <c r="S12" t="str">
        <f>IF(Project!S12&gt;0,Project!S12,"")</f>
        <v/>
      </c>
      <c r="T12" t="str">
        <f>IF(Project!T12&gt;0,Project!T12,"")</f>
        <v/>
      </c>
    </row>
    <row r="13" spans="1:20" x14ac:dyDescent="0.2">
      <c r="A13" t="str">
        <f>IF(Project!A13&gt;0,Project!A13,"")</f>
        <v>SCGP e-Ordering</v>
      </c>
      <c r="B13">
        <f>IF(Project!B13&gt;0,Project!B13,"")</f>
        <v>162.78</v>
      </c>
      <c r="C13">
        <f>IF(Project!C13&gt;0,Project!C13,"")</f>
        <v>3.6</v>
      </c>
      <c r="D13" t="str">
        <f>IF(Project!D13&gt;0,Project!D13,"")</f>
        <v/>
      </c>
      <c r="E13">
        <f>IF(Project!E13&gt;0,Project!E13,"")</f>
        <v>46.3</v>
      </c>
      <c r="F13">
        <f>IF(Project!F13&gt;0,Project!F13,"")</f>
        <v>2.2999999999999998</v>
      </c>
      <c r="G13" t="str">
        <f>IF(Project!G13&gt;0,Project!G13,"")</f>
        <v/>
      </c>
      <c r="H13">
        <f>IF(Project!H13&gt;0,Project!H13,"")</f>
        <v>1.05</v>
      </c>
      <c r="I13">
        <f>IF(Project!I13&gt;0,Project!I13,"")</f>
        <v>1.35</v>
      </c>
      <c r="J13" t="str">
        <f>IF(Project!J13&gt;0,Project!J13,"")</f>
        <v/>
      </c>
      <c r="K13">
        <f>IF(Project!K13&gt;0,Project!K13,"")</f>
        <v>7.6</v>
      </c>
      <c r="L13">
        <f>IF(Project!L13&gt;0,Project!L13,"")</f>
        <v>12</v>
      </c>
      <c r="M13">
        <f>IF(Project!M13&gt;0,Project!M13,"")</f>
        <v>83.45</v>
      </c>
      <c r="N13">
        <f>IF(Project!N13&gt;0,Project!N13,"")</f>
        <v>5.13</v>
      </c>
      <c r="O13" t="str">
        <f>IF(Project!O13&gt;0,Project!O13,"")</f>
        <v/>
      </c>
      <c r="P13" t="str">
        <f>IF(Project!P13&gt;0,Project!P13,"")</f>
        <v/>
      </c>
      <c r="Q13" t="str">
        <f>IF(Project!Q13&gt;0,Project!Q13,"")</f>
        <v/>
      </c>
      <c r="R13" t="str">
        <f>IF(Project!R13&gt;0,Project!R13,"")</f>
        <v/>
      </c>
      <c r="S13" t="str">
        <f>IF(Project!S13&gt;0,Project!S13,"")</f>
        <v/>
      </c>
      <c r="T13" t="str">
        <f>IF(Project!T13&gt;0,Project!T13,"")</f>
        <v/>
      </c>
    </row>
    <row r="14" spans="1:20" x14ac:dyDescent="0.2">
      <c r="A14" t="str">
        <f>IF(Project!A14&gt;0,Project!A14,"")</f>
        <v>CAP (Common AI Platform)</v>
      </c>
      <c r="B14">
        <f>IF(Project!B14&gt;0,Project!B14,"")</f>
        <v>63.6</v>
      </c>
      <c r="C14" t="str">
        <f>IF(Project!C14&gt;0,Project!C14,"")</f>
        <v/>
      </c>
      <c r="D14">
        <f>IF(Project!D14&gt;0,Project!D14,"")</f>
        <v>61.8</v>
      </c>
      <c r="E14" t="str">
        <f>IF(Project!E14&gt;0,Project!E14,"")</f>
        <v/>
      </c>
      <c r="F14" t="str">
        <f>IF(Project!F14&gt;0,Project!F14,"")</f>
        <v/>
      </c>
      <c r="G14">
        <f>IF(Project!G14&gt;0,Project!G14,"")</f>
        <v>0.6</v>
      </c>
      <c r="H14" t="str">
        <f>IF(Project!H14&gt;0,Project!H14,"")</f>
        <v/>
      </c>
      <c r="I14">
        <f>IF(Project!I14&gt;0,Project!I14,"")</f>
        <v>1.2</v>
      </c>
      <c r="J14" t="str">
        <f>IF(Project!J14&gt;0,Project!J14,"")</f>
        <v/>
      </c>
      <c r="K14" t="str">
        <f>IF(Project!K14&gt;0,Project!K14,"")</f>
        <v/>
      </c>
      <c r="L14" t="str">
        <f>IF(Project!L14&gt;0,Project!L14,"")</f>
        <v/>
      </c>
      <c r="M14" t="str">
        <f>IF(Project!M14&gt;0,Project!M14,"")</f>
        <v/>
      </c>
      <c r="N14" t="str">
        <f>IF(Project!N14&gt;0,Project!N14,"")</f>
        <v/>
      </c>
      <c r="O14" t="str">
        <f>IF(Project!O14&gt;0,Project!O14,"")</f>
        <v/>
      </c>
      <c r="P14" t="str">
        <f>IF(Project!P14&gt;0,Project!P14,"")</f>
        <v/>
      </c>
      <c r="Q14" t="str">
        <f>IF(Project!Q14&gt;0,Project!Q14,"")</f>
        <v/>
      </c>
      <c r="R14" t="str">
        <f>IF(Project!R14&gt;0,Project!R14,"")</f>
        <v/>
      </c>
      <c r="S14" t="str">
        <f>IF(Project!S14&gt;0,Project!S14,"")</f>
        <v/>
      </c>
      <c r="T14" t="str">
        <f>IF(Project!T14&gt;0,Project!T14,"")</f>
        <v/>
      </c>
    </row>
    <row r="15" spans="1:20" x14ac:dyDescent="0.2">
      <c r="A15" t="str">
        <f>IF(Project!A15&gt;0,Project!A15,"")</f>
        <v>PromptPlus</v>
      </c>
      <c r="B15">
        <f>IF(Project!B15&gt;0,Project!B15,"")</f>
        <v>51.075000000000003</v>
      </c>
      <c r="C15">
        <f>IF(Project!C15&gt;0,Project!C15,"")</f>
        <v>0.9</v>
      </c>
      <c r="D15" t="str">
        <f>IF(Project!D15&gt;0,Project!D15,"")</f>
        <v/>
      </c>
      <c r="E15">
        <f>IF(Project!E15&gt;0,Project!E15,"")</f>
        <v>22.8</v>
      </c>
      <c r="F15">
        <f>IF(Project!F15&gt;0,Project!F15,"")</f>
        <v>1.875</v>
      </c>
      <c r="G15" t="str">
        <f>IF(Project!G15&gt;0,Project!G15,"")</f>
        <v/>
      </c>
      <c r="H15" t="str">
        <f>IF(Project!H15&gt;0,Project!H15,"")</f>
        <v/>
      </c>
      <c r="I15" t="str">
        <f>IF(Project!I15&gt;0,Project!I15,"")</f>
        <v/>
      </c>
      <c r="J15" t="str">
        <f>IF(Project!J15&gt;0,Project!J15,"")</f>
        <v/>
      </c>
      <c r="K15">
        <f>IF(Project!K15&gt;0,Project!K15,"")</f>
        <v>1.8</v>
      </c>
      <c r="L15">
        <f>IF(Project!L15&gt;0,Project!L15,"")</f>
        <v>7.7</v>
      </c>
      <c r="M15">
        <f>IF(Project!M15&gt;0,Project!M15,"")</f>
        <v>16</v>
      </c>
      <c r="N15" t="str">
        <f>IF(Project!N15&gt;0,Project!N15,"")</f>
        <v/>
      </c>
      <c r="O15" t="str">
        <f>IF(Project!O15&gt;0,Project!O15,"")</f>
        <v/>
      </c>
      <c r="P15" t="str">
        <f>IF(Project!P15&gt;0,Project!P15,"")</f>
        <v/>
      </c>
      <c r="Q15" t="str">
        <f>IF(Project!Q15&gt;0,Project!Q15,"")</f>
        <v/>
      </c>
      <c r="R15" t="str">
        <f>IF(Project!R15&gt;0,Project!R15,"")</f>
        <v/>
      </c>
      <c r="S15" t="str">
        <f>IF(Project!S15&gt;0,Project!S15,"")</f>
        <v/>
      </c>
      <c r="T15" t="str">
        <f>IF(Project!T15&gt;0,Project!T15,"")</f>
        <v/>
      </c>
    </row>
    <row r="16" spans="1:20" x14ac:dyDescent="0.2">
      <c r="A16" t="str">
        <f>IF(Project!A16&gt;0,Project!A16,"")</f>
        <v>WeShape platform</v>
      </c>
      <c r="B16">
        <f>IF(Project!B16&gt;0,Project!B16,"")</f>
        <v>35.454999999999998</v>
      </c>
      <c r="C16" t="str">
        <f>IF(Project!C16&gt;0,Project!C16,"")</f>
        <v/>
      </c>
      <c r="D16" t="str">
        <f>IF(Project!D16&gt;0,Project!D16,"")</f>
        <v/>
      </c>
      <c r="E16">
        <f>IF(Project!E16&gt;0,Project!E16,"")</f>
        <v>7.2</v>
      </c>
      <c r="F16">
        <f>IF(Project!F16&gt;0,Project!F16,"")</f>
        <v>0.375</v>
      </c>
      <c r="G16" t="str">
        <f>IF(Project!G16&gt;0,Project!G16,"")</f>
        <v/>
      </c>
      <c r="H16">
        <f>IF(Project!H16&gt;0,Project!H16,"")</f>
        <v>1.8</v>
      </c>
      <c r="I16">
        <f>IF(Project!I16&gt;0,Project!I16,"")</f>
        <v>0.65</v>
      </c>
      <c r="J16" t="str">
        <f>IF(Project!J16&gt;0,Project!J16,"")</f>
        <v/>
      </c>
      <c r="K16">
        <f>IF(Project!K16&gt;0,Project!K16,"")</f>
        <v>1.65</v>
      </c>
      <c r="L16">
        <f>IF(Project!L16&gt;0,Project!L16,"")</f>
        <v>7.2</v>
      </c>
      <c r="M16">
        <f>IF(Project!M16&gt;0,Project!M16,"")</f>
        <v>5.4</v>
      </c>
      <c r="N16" t="str">
        <f>IF(Project!N16&gt;0,Project!N16,"")</f>
        <v/>
      </c>
      <c r="O16" t="str">
        <f>IF(Project!O16&gt;0,Project!O16,"")</f>
        <v/>
      </c>
      <c r="P16" t="str">
        <f>IF(Project!P16&gt;0,Project!P16,"")</f>
        <v/>
      </c>
      <c r="Q16" t="str">
        <f>IF(Project!Q16&gt;0,Project!Q16,"")</f>
        <v/>
      </c>
      <c r="R16">
        <f>IF(Project!R16&gt;0,Project!R16,"")</f>
        <v>11.18</v>
      </c>
      <c r="S16" t="str">
        <f>IF(Project!S16&gt;0,Project!S16,"")</f>
        <v/>
      </c>
      <c r="T16" t="str">
        <f>IF(Project!T16&gt;0,Project!T16,"")</f>
        <v/>
      </c>
    </row>
    <row r="17" spans="1:20" x14ac:dyDescent="0.2">
      <c r="A17" t="str">
        <f>IF(Project!A17&gt;0,Project!A17,"")</f>
        <v/>
      </c>
      <c r="B17" t="str">
        <f>IF(Project!B17&gt;0,Project!B17,"")</f>
        <v/>
      </c>
      <c r="C17" t="str">
        <f>IF(Project!C17&gt;0,Project!C17,"")</f>
        <v/>
      </c>
      <c r="D17" t="str">
        <f>IF(Project!D17&gt;0,Project!D17,"")</f>
        <v/>
      </c>
      <c r="E17" t="str">
        <f>IF(Project!E17&gt;0,Project!E17,"")</f>
        <v/>
      </c>
      <c r="F17" t="str">
        <f>IF(Project!F17&gt;0,Project!F17,"")</f>
        <v/>
      </c>
      <c r="G17" t="str">
        <f>IF(Project!G17&gt;0,Project!G17,"")</f>
        <v/>
      </c>
      <c r="H17" t="str">
        <f>IF(Project!H17&gt;0,Project!H17,"")</f>
        <v/>
      </c>
      <c r="I17" t="str">
        <f>IF(Project!I17&gt;0,Project!I17,"")</f>
        <v/>
      </c>
      <c r="J17" t="str">
        <f>IF(Project!J17&gt;0,Project!J17,"")</f>
        <v/>
      </c>
      <c r="K17" t="str">
        <f>IF(Project!K17&gt;0,Project!K17,"")</f>
        <v/>
      </c>
      <c r="L17" t="str">
        <f>IF(Project!L17&gt;0,Project!L17,"")</f>
        <v/>
      </c>
      <c r="M17" t="str">
        <f>IF(Project!M17&gt;0,Project!M17,"")</f>
        <v/>
      </c>
      <c r="N17" t="str">
        <f>IF(Project!N17&gt;0,Project!N17,"")</f>
        <v/>
      </c>
      <c r="O17" t="str">
        <f>IF(Project!O17&gt;0,Project!O17,"")</f>
        <v/>
      </c>
      <c r="P17" t="str">
        <f>IF(Project!P17&gt;0,Project!P17,"")</f>
        <v/>
      </c>
      <c r="Q17" t="str">
        <f>IF(Project!Q17&gt;0,Project!Q17,"")</f>
        <v/>
      </c>
      <c r="R17" t="str">
        <f>IF(Project!R17&gt;0,Project!R17,"")</f>
        <v/>
      </c>
      <c r="S17" t="str">
        <f>IF(Project!S17&gt;0,Project!S17,"")</f>
        <v/>
      </c>
      <c r="T17" t="str">
        <f>IF(Project!T17&gt;0,Project!T17,"")</f>
        <v/>
      </c>
    </row>
    <row r="18" spans="1:20" x14ac:dyDescent="0.2">
      <c r="A18" t="str">
        <f>IF(Project!A18&gt;0,Project!A18,"")</f>
        <v/>
      </c>
      <c r="B18" t="str">
        <f>IF(Project!B18&gt;0,Project!B18,"")</f>
        <v/>
      </c>
      <c r="C18" t="str">
        <f>IF(Project!C18&gt;0,Project!C18,"")</f>
        <v/>
      </c>
      <c r="D18" t="str">
        <f>IF(Project!D18&gt;0,Project!D18,"")</f>
        <v/>
      </c>
      <c r="E18" t="str">
        <f>IF(Project!E18&gt;0,Project!E18,"")</f>
        <v/>
      </c>
      <c r="F18" t="str">
        <f>IF(Project!F18&gt;0,Project!F18,"")</f>
        <v/>
      </c>
      <c r="G18" t="str">
        <f>IF(Project!G18&gt;0,Project!G18,"")</f>
        <v/>
      </c>
      <c r="H18" t="str">
        <f>IF(Project!H18&gt;0,Project!H18,"")</f>
        <v/>
      </c>
      <c r="I18" t="str">
        <f>IF(Project!I18&gt;0,Project!I18,"")</f>
        <v/>
      </c>
      <c r="J18" t="str">
        <f>IF(Project!J18&gt;0,Project!J18,"")</f>
        <v/>
      </c>
      <c r="K18" t="str">
        <f>IF(Project!K18&gt;0,Project!K18,"")</f>
        <v/>
      </c>
      <c r="L18" t="str">
        <f>IF(Project!L18&gt;0,Project!L18,"")</f>
        <v/>
      </c>
      <c r="M18" t="str">
        <f>IF(Project!M18&gt;0,Project!M18,"")</f>
        <v/>
      </c>
      <c r="N18" t="str">
        <f>IF(Project!N18&gt;0,Project!N18,"")</f>
        <v/>
      </c>
      <c r="O18" t="str">
        <f>IF(Project!O18&gt;0,Project!O18,"")</f>
        <v/>
      </c>
      <c r="P18" t="str">
        <f>IF(Project!P18&gt;0,Project!P18,"")</f>
        <v/>
      </c>
      <c r="Q18" t="str">
        <f>IF(Project!Q18&gt;0,Project!Q18,"")</f>
        <v/>
      </c>
      <c r="R18" t="str">
        <f>IF(Project!R18&gt;0,Project!R18,"")</f>
        <v/>
      </c>
      <c r="S18" t="str">
        <f>IF(Project!S18&gt;0,Project!S18,"")</f>
        <v/>
      </c>
      <c r="T18" t="str">
        <f>IF(Project!T18&gt;0,Project!T18,"")</f>
        <v/>
      </c>
    </row>
    <row r="19" spans="1:20" s="63" customFormat="1" x14ac:dyDescent="0.2">
      <c r="A19" s="63" t="str">
        <f>IF(Project!A19&gt;0,Project!A19,"")</f>
        <v>Project by Type</v>
      </c>
      <c r="B19" s="63" t="str">
        <f>IF(Project!B19&gt;0,Project!B19,"")</f>
        <v/>
      </c>
      <c r="C19" s="63" t="str">
        <f>IF(Project!C19&gt;0,Project!C19,"")</f>
        <v/>
      </c>
      <c r="D19" s="63" t="str">
        <f>IF(Project!D19&gt;0,Project!D19,"")</f>
        <v/>
      </c>
      <c r="E19" s="63" t="str">
        <f>IF(Project!E19&gt;0,Project!E19,"")</f>
        <v/>
      </c>
      <c r="F19" s="63" t="str">
        <f>IF(Project!F19&gt;0,Project!F19,"")</f>
        <v/>
      </c>
      <c r="G19" s="63" t="str">
        <f>IF(Project!G19&gt;0,Project!G19,"")</f>
        <v/>
      </c>
      <c r="H19" s="63" t="str">
        <f>IF(Project!H19&gt;0,Project!H19,"")</f>
        <v/>
      </c>
      <c r="I19" s="63" t="str">
        <f>IF(Project!I19&gt;0,Project!I19,"")</f>
        <v/>
      </c>
      <c r="J19" s="63" t="str">
        <f>IF(Project!J19&gt;0,Project!J19,"")</f>
        <v/>
      </c>
      <c r="K19" s="63" t="str">
        <f>IF(Project!K19&gt;0,Project!K19,"")</f>
        <v/>
      </c>
      <c r="L19" s="63" t="str">
        <f>IF(Project!L19&gt;0,Project!L19,"")</f>
        <v/>
      </c>
      <c r="M19" s="63" t="str">
        <f>IF(Project!M19&gt;0,Project!M19,"")</f>
        <v/>
      </c>
      <c r="N19" s="63" t="str">
        <f>IF(Project!N19&gt;0,Project!N19,"")</f>
        <v/>
      </c>
      <c r="O19" s="63" t="str">
        <f>IF(Project!O19&gt;0,Project!O19,"")</f>
        <v/>
      </c>
      <c r="P19" s="63" t="str">
        <f>IF(Project!P19&gt;0,Project!P19,"")</f>
        <v/>
      </c>
      <c r="Q19" s="63" t="str">
        <f>IF(Project!Q19&gt;0,Project!Q19,"")</f>
        <v/>
      </c>
      <c r="R19" s="63" t="str">
        <f>IF(Project!R19&gt;0,Project!R19,"")</f>
        <v/>
      </c>
      <c r="S19" s="63" t="str">
        <f>IF(Project!S19&gt;0,Project!S19,"")</f>
        <v/>
      </c>
      <c r="T19" s="63" t="str">
        <f>IF(Project!T19&gt;0,Project!T19,"")</f>
        <v/>
      </c>
    </row>
    <row r="20" spans="1:20" s="63" customFormat="1" x14ac:dyDescent="0.2">
      <c r="A20" s="63" t="str">
        <f>IF(Project!A20&gt;0,Project!A20,"")</f>
        <v/>
      </c>
      <c r="B20" s="63" t="str">
        <f>IF(Project!B20&gt;0,Project!B20,"")</f>
        <v/>
      </c>
      <c r="C20" s="63" t="str">
        <f>IF(Project!C20&gt;0,Project!C20,"")</f>
        <v/>
      </c>
      <c r="D20" s="63" t="str">
        <f>IF(Project!D20&gt;0,Project!D20,"")</f>
        <v/>
      </c>
      <c r="E20" s="63" t="str">
        <f>IF(Project!E20&gt;0,Project!E20,"")</f>
        <v/>
      </c>
      <c r="F20" s="63" t="str">
        <f>IF(Project!F20&gt;0,Project!F20,"")</f>
        <v/>
      </c>
      <c r="G20" s="63" t="str">
        <f>IF(Project!G20&gt;0,Project!G20,"")</f>
        <v/>
      </c>
      <c r="H20" s="63" t="str">
        <f>IF(Project!H20&gt;0,Project!H20,"")</f>
        <v/>
      </c>
      <c r="I20" s="63" t="str">
        <f>IF(Project!I20&gt;0,Project!I20,"")</f>
        <v/>
      </c>
      <c r="J20" s="63" t="str">
        <f>IF(Project!J20&gt;0,Project!J20,"")</f>
        <v/>
      </c>
      <c r="K20" s="63" t="str">
        <f>IF(Project!K20&gt;0,Project!K20,"")</f>
        <v/>
      </c>
      <c r="L20" s="63" t="str">
        <f>IF(Project!L20&gt;0,Project!L20,"")</f>
        <v/>
      </c>
      <c r="M20" s="63" t="str">
        <f>IF(Project!M20&gt;0,Project!M20,"")</f>
        <v/>
      </c>
      <c r="N20" s="63" t="str">
        <f>IF(Project!N20&gt;0,Project!N20,"")</f>
        <v/>
      </c>
      <c r="O20" s="63" t="str">
        <f>IF(Project!O20&gt;0,Project!O20,"")</f>
        <v/>
      </c>
      <c r="P20" s="63" t="str">
        <f>IF(Project!P20&gt;0,Project!P20,"")</f>
        <v/>
      </c>
      <c r="Q20" s="63" t="str">
        <f>IF(Project!Q20&gt;0,Project!Q20,"")</f>
        <v/>
      </c>
      <c r="R20" s="63" t="str">
        <f>IF(Project!R20&gt;0,Project!R20,"")</f>
        <v/>
      </c>
      <c r="S20" s="63" t="str">
        <f>IF(Project!S20&gt;0,Project!S20,"")</f>
        <v/>
      </c>
      <c r="T20" s="63" t="str">
        <f>IF(Project!T20&gt;0,Project!T20,"")</f>
        <v/>
      </c>
    </row>
    <row r="21" spans="1:20" s="63" customFormat="1" x14ac:dyDescent="0.2">
      <c r="A21" s="63" t="str">
        <f>IF(Project!A21&gt;0,Project!A21,"")</f>
        <v>Group Name</v>
      </c>
      <c r="B21" s="63" t="str">
        <f>IF(Project!B21&gt;0,Project!B21,"")</f>
        <v>Presale</v>
      </c>
      <c r="C21" s="63" t="str">
        <f>IF(Project!C21&gt;0,Project!C21,"")</f>
        <v>Project</v>
      </c>
      <c r="D21" s="63" t="str">
        <f>IF(Project!D21&gt;0,Project!D21,"")</f>
        <v>TM</v>
      </c>
      <c r="E21" s="63" t="str">
        <f>IF(Project!E21&gt;0,Project!E21,"")</f>
        <v>Infra</v>
      </c>
      <c r="F21" s="63" t="str">
        <f>IF(Project!F21&gt;0,Project!F21,"")</f>
        <v>Spatial Lab</v>
      </c>
      <c r="G21" s="63" t="str">
        <f>IF(Project!G21&gt;0,Project!G21,"")</f>
        <v>Warmbody</v>
      </c>
      <c r="H21" s="63" t="str">
        <f>IF(Project!H21&gt;0,Project!H21,"")</f>
        <v>Grand Total</v>
      </c>
      <c r="I21" s="63" t="str">
        <f>IF(Project!I21&gt;0,Project!I21,"")</f>
        <v/>
      </c>
      <c r="J21" s="63" t="str">
        <f>IF(Project!J21&gt;0,Project!J21,"")</f>
        <v/>
      </c>
      <c r="K21" s="63" t="str">
        <f>IF(Project!K21&gt;0,Project!K21,"")</f>
        <v/>
      </c>
      <c r="L21" s="63" t="str">
        <f>IF(Project!L21&gt;0,Project!L21,"")</f>
        <v/>
      </c>
      <c r="M21" s="63" t="str">
        <f>IF(Project!M21&gt;0,Project!M21,"")</f>
        <v/>
      </c>
      <c r="N21" s="63" t="str">
        <f>IF(Project!N21&gt;0,Project!N21,"")</f>
        <v/>
      </c>
      <c r="O21" s="63" t="str">
        <f>IF(Project!O21&gt;0,Project!O21,"")</f>
        <v/>
      </c>
      <c r="P21" s="63" t="str">
        <f>IF(Project!P21&gt;0,Project!P21,"")</f>
        <v/>
      </c>
      <c r="Q21" s="63" t="str">
        <f>IF(Project!Q21&gt;0,Project!Q21,"")</f>
        <v/>
      </c>
      <c r="R21" s="63" t="str">
        <f>IF(Project!R21&gt;0,Project!R21,"")</f>
        <v/>
      </c>
      <c r="S21" s="63" t="str">
        <f>IF(Project!S21&gt;0,Project!S21,"")</f>
        <v/>
      </c>
      <c r="T21" s="63" t="str">
        <f>IF(Project!T21&gt;0,Project!T21,"")</f>
        <v/>
      </c>
    </row>
    <row r="22" spans="1:20" x14ac:dyDescent="0.2">
      <c r="A22" t="str">
        <f>IF(Project!A22&gt;0,Project!A22,"")</f>
        <v>IT Dist</v>
      </c>
      <c r="B22">
        <f>IF(Project!B22&gt;0,Project!B22,"")</f>
        <v>36</v>
      </c>
      <c r="C22" t="str">
        <f>IF(Project!C22&gt;0,Project!C22,"")</f>
        <v/>
      </c>
      <c r="D22" t="str">
        <f>IF(Project!D22&gt;0,Project!D22,"")</f>
        <v/>
      </c>
      <c r="E22" t="str">
        <f>IF(Project!E22&gt;0,Project!E22,"")</f>
        <v/>
      </c>
      <c r="F22" t="str">
        <f>IF(Project!F22&gt;0,Project!F22,"")</f>
        <v/>
      </c>
      <c r="G22">
        <f>IF(Project!G22&gt;0,Project!G22,"")</f>
        <v>180</v>
      </c>
      <c r="H22">
        <f>IF(Project!H22&gt;0,Project!H22,"")</f>
        <v>216</v>
      </c>
      <c r="I22" t="str">
        <f>IF(Project!I22&gt;0,Project!I22,"")</f>
        <v/>
      </c>
      <c r="J22" t="str">
        <f>IF(Project!J22&gt;0,Project!J22,"")</f>
        <v/>
      </c>
      <c r="K22" t="str">
        <f>IF(Project!K22&gt;0,Project!K22,"")</f>
        <v/>
      </c>
      <c r="L22" t="str">
        <f>IF(Project!L22&gt;0,Project!L22,"")</f>
        <v/>
      </c>
      <c r="M22" t="str">
        <f>IF(Project!M22&gt;0,Project!M22,"")</f>
        <v/>
      </c>
      <c r="N22" t="str">
        <f>IF(Project!N22&gt;0,Project!N22,"")</f>
        <v/>
      </c>
      <c r="O22" t="str">
        <f>IF(Project!O22&gt;0,Project!O22,"")</f>
        <v/>
      </c>
      <c r="P22" t="str">
        <f>IF(Project!P22&gt;0,Project!P22,"")</f>
        <v/>
      </c>
      <c r="Q22" t="str">
        <f>IF(Project!Q22&gt;0,Project!Q22,"")</f>
        <v/>
      </c>
      <c r="R22" t="str">
        <f>IF(Project!R22&gt;0,Project!R22,"")</f>
        <v/>
      </c>
      <c r="S22" t="str">
        <f>IF(Project!S22&gt;0,Project!S22,"")</f>
        <v/>
      </c>
      <c r="T22" t="str">
        <f>IF(Project!T22&gt;0,Project!T22,"")</f>
        <v/>
      </c>
    </row>
    <row r="23" spans="1:20" x14ac:dyDescent="0.2">
      <c r="A23" t="str">
        <f>IF(Project!A23&gt;0,Project!A23,"")</f>
        <v>SCGP e-Ordering</v>
      </c>
      <c r="B23">
        <f>IF(Project!B23&gt;0,Project!B23,"")</f>
        <v>2.7</v>
      </c>
      <c r="C23">
        <f>IF(Project!C23&gt;0,Project!C23,"")</f>
        <v>154.05000000000001</v>
      </c>
      <c r="D23">
        <f>IF(Project!D23&gt;0,Project!D23,"")</f>
        <v>5.13</v>
      </c>
      <c r="E23">
        <f>IF(Project!E23&gt;0,Project!E23,"")</f>
        <v>0.9</v>
      </c>
      <c r="F23" t="str">
        <f>IF(Project!F23&gt;0,Project!F23,"")</f>
        <v/>
      </c>
      <c r="G23" t="str">
        <f>IF(Project!G23&gt;0,Project!G23,"")</f>
        <v/>
      </c>
      <c r="H23">
        <f>IF(Project!H23&gt;0,Project!H23,"")</f>
        <v>162.78</v>
      </c>
      <c r="I23" t="str">
        <f>IF(Project!I23&gt;0,Project!I23,"")</f>
        <v/>
      </c>
      <c r="J23" t="str">
        <f>IF(Project!J23&gt;0,Project!J23,"")</f>
        <v/>
      </c>
      <c r="K23" t="str">
        <f>IF(Project!K23&gt;0,Project!K23,"")</f>
        <v/>
      </c>
      <c r="L23" t="str">
        <f>IF(Project!L23&gt;0,Project!L23,"")</f>
        <v/>
      </c>
      <c r="M23" t="str">
        <f>IF(Project!M23&gt;0,Project!M23,"")</f>
        <v/>
      </c>
      <c r="N23" t="str">
        <f>IF(Project!N23&gt;0,Project!N23,"")</f>
        <v/>
      </c>
      <c r="O23" t="str">
        <f>IF(Project!O23&gt;0,Project!O23,"")</f>
        <v/>
      </c>
      <c r="P23" t="str">
        <f>IF(Project!P23&gt;0,Project!P23,"")</f>
        <v/>
      </c>
      <c r="Q23" t="str">
        <f>IF(Project!Q23&gt;0,Project!Q23,"")</f>
        <v/>
      </c>
      <c r="R23" t="str">
        <f>IF(Project!R23&gt;0,Project!R23,"")</f>
        <v/>
      </c>
      <c r="S23" t="str">
        <f>IF(Project!S23&gt;0,Project!S23,"")</f>
        <v/>
      </c>
      <c r="T23" t="str">
        <f>IF(Project!T23&gt;0,Project!T23,"")</f>
        <v/>
      </c>
    </row>
    <row r="24" spans="1:20" x14ac:dyDescent="0.2">
      <c r="A24" t="str">
        <f>IF(Project!A24&gt;0,Project!A24,"")</f>
        <v>CAP (Common AI Platform)</v>
      </c>
      <c r="B24" t="str">
        <f>IF(Project!B24&gt;0,Project!B24,"")</f>
        <v/>
      </c>
      <c r="C24">
        <f>IF(Project!C24&gt;0,Project!C24,"")</f>
        <v>63.6</v>
      </c>
      <c r="D24" t="str">
        <f>IF(Project!D24&gt;0,Project!D24,"")</f>
        <v/>
      </c>
      <c r="E24" t="str">
        <f>IF(Project!E24&gt;0,Project!E24,"")</f>
        <v/>
      </c>
      <c r="F24" t="str">
        <f>IF(Project!F24&gt;0,Project!F24,"")</f>
        <v/>
      </c>
      <c r="G24" t="str">
        <f>IF(Project!G24&gt;0,Project!G24,"")</f>
        <v/>
      </c>
      <c r="H24">
        <f>IF(Project!H24&gt;0,Project!H24,"")</f>
        <v>63.6</v>
      </c>
      <c r="I24" t="str">
        <f>IF(Project!I24&gt;0,Project!I24,"")</f>
        <v/>
      </c>
      <c r="J24" t="str">
        <f>IF(Project!J24&gt;0,Project!J24,"")</f>
        <v/>
      </c>
      <c r="K24" t="str">
        <f>IF(Project!K24&gt;0,Project!K24,"")</f>
        <v/>
      </c>
      <c r="L24" t="str">
        <f>IF(Project!L24&gt;0,Project!L24,"")</f>
        <v/>
      </c>
      <c r="M24" t="str">
        <f>IF(Project!M24&gt;0,Project!M24,"")</f>
        <v/>
      </c>
      <c r="N24" t="str">
        <f>IF(Project!N24&gt;0,Project!N24,"")</f>
        <v/>
      </c>
      <c r="O24" t="str">
        <f>IF(Project!O24&gt;0,Project!O24,"")</f>
        <v/>
      </c>
      <c r="P24" t="str">
        <f>IF(Project!P24&gt;0,Project!P24,"")</f>
        <v/>
      </c>
      <c r="Q24" t="str">
        <f>IF(Project!Q24&gt;0,Project!Q24,"")</f>
        <v/>
      </c>
      <c r="R24" t="str">
        <f>IF(Project!R24&gt;0,Project!R24,"")</f>
        <v/>
      </c>
      <c r="S24" t="str">
        <f>IF(Project!S24&gt;0,Project!S24,"")</f>
        <v/>
      </c>
      <c r="T24" t="str">
        <f>IF(Project!T24&gt;0,Project!T24,"")</f>
        <v/>
      </c>
    </row>
    <row r="25" spans="1:20" x14ac:dyDescent="0.2">
      <c r="A25" t="str">
        <f>IF(Project!A25&gt;0,Project!A25,"")</f>
        <v>PromptPlus</v>
      </c>
      <c r="B25" t="str">
        <f>IF(Project!B25&gt;0,Project!B25,"")</f>
        <v/>
      </c>
      <c r="C25">
        <f>IF(Project!C25&gt;0,Project!C25,"")</f>
        <v>27.375</v>
      </c>
      <c r="D25" t="str">
        <f>IF(Project!D25&gt;0,Project!D25,"")</f>
        <v/>
      </c>
      <c r="E25" t="str">
        <f>IF(Project!E25&gt;0,Project!E25,"")</f>
        <v/>
      </c>
      <c r="F25" t="str">
        <f>IF(Project!F25&gt;0,Project!F25,"")</f>
        <v/>
      </c>
      <c r="G25">
        <f>IF(Project!G25&gt;0,Project!G25,"")</f>
        <v>23.7</v>
      </c>
      <c r="H25">
        <f>IF(Project!H25&gt;0,Project!H25,"")</f>
        <v>51.075000000000003</v>
      </c>
      <c r="I25" t="str">
        <f>IF(Project!I25&gt;0,Project!I25,"")</f>
        <v/>
      </c>
      <c r="J25" t="str">
        <f>IF(Project!J25&gt;0,Project!J25,"")</f>
        <v/>
      </c>
      <c r="K25" t="str">
        <f>IF(Project!K25&gt;0,Project!K25,"")</f>
        <v/>
      </c>
      <c r="L25" t="str">
        <f>IF(Project!L25&gt;0,Project!L25,"")</f>
        <v/>
      </c>
      <c r="M25" t="str">
        <f>IF(Project!M25&gt;0,Project!M25,"")</f>
        <v/>
      </c>
      <c r="N25" t="str">
        <f>IF(Project!N25&gt;0,Project!N25,"")</f>
        <v/>
      </c>
      <c r="O25" t="str">
        <f>IF(Project!O25&gt;0,Project!O25,"")</f>
        <v/>
      </c>
      <c r="P25" t="str">
        <f>IF(Project!P25&gt;0,Project!P25,"")</f>
        <v/>
      </c>
      <c r="Q25" t="str">
        <f>IF(Project!Q25&gt;0,Project!Q25,"")</f>
        <v/>
      </c>
      <c r="R25" t="str">
        <f>IF(Project!R25&gt;0,Project!R25,"")</f>
        <v/>
      </c>
      <c r="S25" t="str">
        <f>IF(Project!S25&gt;0,Project!S25,"")</f>
        <v/>
      </c>
      <c r="T25" t="str">
        <f>IF(Project!T25&gt;0,Project!T25,"")</f>
        <v/>
      </c>
    </row>
    <row r="26" spans="1:20" x14ac:dyDescent="0.2">
      <c r="A26" t="str">
        <f>IF(Project!A26&gt;0,Project!A26,"")</f>
        <v>WeShape platform</v>
      </c>
      <c r="B26">
        <f>IF(Project!B26&gt;0,Project!B26,"")</f>
        <v>0.8</v>
      </c>
      <c r="C26" t="str">
        <f>IF(Project!C26&gt;0,Project!C26,"")</f>
        <v/>
      </c>
      <c r="D26" t="str">
        <f>IF(Project!D26&gt;0,Project!D26,"")</f>
        <v/>
      </c>
      <c r="E26" t="str">
        <f>IF(Project!E26&gt;0,Project!E26,"")</f>
        <v/>
      </c>
      <c r="F26">
        <f>IF(Project!F26&gt;0,Project!F26,"")</f>
        <v>34.655000000000001</v>
      </c>
      <c r="G26" t="str">
        <f>IF(Project!G26&gt;0,Project!G26,"")</f>
        <v/>
      </c>
      <c r="H26">
        <f>IF(Project!H26&gt;0,Project!H26,"")</f>
        <v>35.454999999999998</v>
      </c>
      <c r="I26" t="str">
        <f>IF(Project!I26&gt;0,Project!I26,"")</f>
        <v/>
      </c>
      <c r="J26" t="str">
        <f>IF(Project!J26&gt;0,Project!J26,"")</f>
        <v/>
      </c>
      <c r="K26" t="str">
        <f>IF(Project!K26&gt;0,Project!K26,"")</f>
        <v/>
      </c>
      <c r="L26" t="str">
        <f>IF(Project!L26&gt;0,Project!L26,"")</f>
        <v/>
      </c>
      <c r="M26" t="str">
        <f>IF(Project!M26&gt;0,Project!M26,"")</f>
        <v/>
      </c>
      <c r="N26" t="str">
        <f>IF(Project!N26&gt;0,Project!N26,"")</f>
        <v/>
      </c>
      <c r="O26" t="str">
        <f>IF(Project!O26&gt;0,Project!O26,"")</f>
        <v/>
      </c>
      <c r="P26" t="str">
        <f>IF(Project!P26&gt;0,Project!P26,"")</f>
        <v/>
      </c>
      <c r="Q26" t="str">
        <f>IF(Project!Q26&gt;0,Project!Q26,"")</f>
        <v/>
      </c>
      <c r="R26" t="str">
        <f>IF(Project!R26&gt;0,Project!R26,"")</f>
        <v/>
      </c>
      <c r="S26" t="str">
        <f>IF(Project!S26&gt;0,Project!S26,"")</f>
        <v/>
      </c>
      <c r="T26" t="str">
        <f>IF(Project!T26&gt;0,Project!T26,"")</f>
        <v/>
      </c>
    </row>
    <row r="27" spans="1:20" x14ac:dyDescent="0.2">
      <c r="A27" t="str">
        <f>IF(Project!A27&gt;0,Project!A27,"")</f>
        <v/>
      </c>
      <c r="B27" t="str">
        <f>IF(Project!B27&gt;0,Project!B27,"")</f>
        <v/>
      </c>
      <c r="C27" t="str">
        <f>IF(Project!C27&gt;0,Project!C27,"")</f>
        <v/>
      </c>
      <c r="D27" t="str">
        <f>IF(Project!D27&gt;0,Project!D27,"")</f>
        <v/>
      </c>
      <c r="E27" t="str">
        <f>IF(Project!E27&gt;0,Project!E27,"")</f>
        <v/>
      </c>
      <c r="F27" t="str">
        <f>IF(Project!F27&gt;0,Project!F27,"")</f>
        <v/>
      </c>
      <c r="G27" t="str">
        <f>IF(Project!G27&gt;0,Project!G27,"")</f>
        <v/>
      </c>
      <c r="H27" t="str">
        <f>IF(Project!H27&gt;0,Project!H27,"")</f>
        <v/>
      </c>
      <c r="I27" t="str">
        <f>IF(Project!I27&gt;0,Project!I27,"")</f>
        <v/>
      </c>
      <c r="J27" t="str">
        <f>IF(Project!J27&gt;0,Project!J27,"")</f>
        <v/>
      </c>
      <c r="K27" t="str">
        <f>IF(Project!K27&gt;0,Project!K27,"")</f>
        <v/>
      </c>
      <c r="L27" t="str">
        <f>IF(Project!L27&gt;0,Project!L27,"")</f>
        <v/>
      </c>
      <c r="M27" t="str">
        <f>IF(Project!M27&gt;0,Project!M27,"")</f>
        <v/>
      </c>
      <c r="N27" t="str">
        <f>IF(Project!N27&gt;0,Project!N27,"")</f>
        <v/>
      </c>
      <c r="O27" t="str">
        <f>IF(Project!O27&gt;0,Project!O27,"")</f>
        <v/>
      </c>
      <c r="P27" t="str">
        <f>IF(Project!P27&gt;0,Project!P27,"")</f>
        <v/>
      </c>
      <c r="Q27" t="str">
        <f>IF(Project!Q27&gt;0,Project!Q27,"")</f>
        <v/>
      </c>
      <c r="R27" t="str">
        <f>IF(Project!R27&gt;0,Project!R27,"")</f>
        <v/>
      </c>
      <c r="S27" t="str">
        <f>IF(Project!S27&gt;0,Project!S27,"")</f>
        <v/>
      </c>
      <c r="T27" t="str">
        <f>IF(Project!T27&gt;0,Project!T27,"")</f>
        <v/>
      </c>
    </row>
    <row r="28" spans="1:20" x14ac:dyDescent="0.2">
      <c r="A28" t="str">
        <f>IF(Project!A28&gt;0,Project!A28,"")</f>
        <v/>
      </c>
      <c r="B28" t="str">
        <f>IF(Project!B28&gt;0,Project!B28,"")</f>
        <v/>
      </c>
      <c r="C28" t="str">
        <f>IF(Project!C28&gt;0,Project!C28,"")</f>
        <v/>
      </c>
      <c r="D28" t="str">
        <f>IF(Project!D28&gt;0,Project!D28,"")</f>
        <v/>
      </c>
      <c r="E28" t="str">
        <f>IF(Project!E28&gt;0,Project!E28,"")</f>
        <v/>
      </c>
      <c r="F28" t="str">
        <f>IF(Project!F28&gt;0,Project!F28,"")</f>
        <v/>
      </c>
      <c r="G28" t="str">
        <f>IF(Project!G28&gt;0,Project!G28,"")</f>
        <v/>
      </c>
      <c r="H28" t="str">
        <f>IF(Project!H28&gt;0,Project!H28,"")</f>
        <v/>
      </c>
      <c r="I28" t="str">
        <f>IF(Project!I28&gt;0,Project!I28,"")</f>
        <v/>
      </c>
      <c r="J28" t="str">
        <f>IF(Project!J28&gt;0,Project!J28,"")</f>
        <v/>
      </c>
      <c r="K28" t="str">
        <f>IF(Project!K28&gt;0,Project!K28,"")</f>
        <v/>
      </c>
      <c r="L28" t="str">
        <f>IF(Project!L28&gt;0,Project!L28,"")</f>
        <v/>
      </c>
      <c r="M28" t="str">
        <f>IF(Project!M28&gt;0,Project!M28,"")</f>
        <v/>
      </c>
      <c r="N28" t="str">
        <f>IF(Project!N28&gt;0,Project!N28,"")</f>
        <v/>
      </c>
      <c r="O28" t="str">
        <f>IF(Project!O28&gt;0,Project!O28,"")</f>
        <v/>
      </c>
      <c r="P28" t="str">
        <f>IF(Project!P28&gt;0,Project!P28,"")</f>
        <v/>
      </c>
      <c r="Q28" t="str">
        <f>IF(Project!Q28&gt;0,Project!Q28,"")</f>
        <v/>
      </c>
      <c r="R28" t="str">
        <f>IF(Project!R28&gt;0,Project!R28,"")</f>
        <v/>
      </c>
      <c r="S28" t="str">
        <f>IF(Project!S28&gt;0,Project!S28,"")</f>
        <v/>
      </c>
      <c r="T28" t="str">
        <f>IF(Project!T28&gt;0,Project!T28,"")</f>
        <v/>
      </c>
    </row>
    <row r="29" spans="1:20" x14ac:dyDescent="0.2">
      <c r="A29" t="str">
        <f>IF(Project!A29&gt;0,Project!A29,"")</f>
        <v/>
      </c>
      <c r="B29" t="str">
        <f>IF(Project!B29&gt;0,Project!B29,"")</f>
        <v/>
      </c>
      <c r="C29" t="str">
        <f>IF(Project!C29&gt;0,Project!C29,"")</f>
        <v/>
      </c>
      <c r="D29" t="str">
        <f>IF(Project!D29&gt;0,Project!D29,"")</f>
        <v/>
      </c>
      <c r="E29" t="str">
        <f>IF(Project!E29&gt;0,Project!E29,"")</f>
        <v/>
      </c>
      <c r="F29" t="str">
        <f>IF(Project!F29&gt;0,Project!F29,"")</f>
        <v/>
      </c>
      <c r="G29" t="str">
        <f>IF(Project!G29&gt;0,Project!G29,"")</f>
        <v/>
      </c>
      <c r="H29" t="str">
        <f>IF(Project!H29&gt;0,Project!H29,"")</f>
        <v/>
      </c>
      <c r="I29" t="str">
        <f>IF(Project!I29&gt;0,Project!I29,"")</f>
        <v/>
      </c>
      <c r="J29" t="str">
        <f>IF(Project!J29&gt;0,Project!J29,"")</f>
        <v/>
      </c>
      <c r="K29" t="str">
        <f>IF(Project!K29&gt;0,Project!K29,"")</f>
        <v/>
      </c>
      <c r="L29" t="str">
        <f>IF(Project!L29&gt;0,Project!L29,"")</f>
        <v/>
      </c>
      <c r="M29" t="str">
        <f>IF(Project!M29&gt;0,Project!M29,"")</f>
        <v/>
      </c>
      <c r="N29" t="str">
        <f>IF(Project!N29&gt;0,Project!N29,"")</f>
        <v/>
      </c>
      <c r="O29" t="str">
        <f>IF(Project!O29&gt;0,Project!O29,"")</f>
        <v/>
      </c>
      <c r="P29" t="str">
        <f>IF(Project!P29&gt;0,Project!P29,"")</f>
        <v/>
      </c>
      <c r="Q29" t="str">
        <f>IF(Project!Q29&gt;0,Project!Q29,"")</f>
        <v/>
      </c>
      <c r="R29" t="str">
        <f>IF(Project!R29&gt;0,Project!R29,"")</f>
        <v/>
      </c>
      <c r="S29" t="str">
        <f>IF(Project!S29&gt;0,Project!S29,"")</f>
        <v/>
      </c>
      <c r="T29" t="str">
        <f>IF(Project!T29&gt;0,Project!T29,"")</f>
        <v/>
      </c>
    </row>
    <row r="30" spans="1:20" x14ac:dyDescent="0.2">
      <c r="A30" t="str">
        <f>IF(Project!A30&gt;0,Project!A30,"")</f>
        <v/>
      </c>
      <c r="B30" t="str">
        <f>IF(Project!B30&gt;0,Project!B30,"")</f>
        <v/>
      </c>
      <c r="C30" t="str">
        <f>IF(Project!C30&gt;0,Project!C30,"")</f>
        <v/>
      </c>
      <c r="D30" t="str">
        <f>IF(Project!D30&gt;0,Project!D30,"")</f>
        <v/>
      </c>
      <c r="E30" t="str">
        <f>IF(Project!E30&gt;0,Project!E30,"")</f>
        <v/>
      </c>
      <c r="F30" t="str">
        <f>IF(Project!F30&gt;0,Project!F30,"")</f>
        <v/>
      </c>
      <c r="G30" t="str">
        <f>IF(Project!G30&gt;0,Project!G30,"")</f>
        <v/>
      </c>
      <c r="H30" t="str">
        <f>IF(Project!H30&gt;0,Project!H30,"")</f>
        <v/>
      </c>
      <c r="I30" t="str">
        <f>IF(Project!I30&gt;0,Project!I30,"")</f>
        <v/>
      </c>
      <c r="J30" t="str">
        <f>IF(Project!J30&gt;0,Project!J30,"")</f>
        <v/>
      </c>
      <c r="K30" t="str">
        <f>IF(Project!K30&gt;0,Project!K30,"")</f>
        <v/>
      </c>
      <c r="L30" t="str">
        <f>IF(Project!L30&gt;0,Project!L30,"")</f>
        <v/>
      </c>
      <c r="M30" t="str">
        <f>IF(Project!M30&gt;0,Project!M30,"")</f>
        <v/>
      </c>
      <c r="N30" t="str">
        <f>IF(Project!N30&gt;0,Project!N30,"")</f>
        <v/>
      </c>
      <c r="O30" t="str">
        <f>IF(Project!O30&gt;0,Project!O30,"")</f>
        <v/>
      </c>
      <c r="P30" t="str">
        <f>IF(Project!P30&gt;0,Project!P30,"")</f>
        <v/>
      </c>
      <c r="Q30" t="str">
        <f>IF(Project!Q30&gt;0,Project!Q30,"")</f>
        <v/>
      </c>
      <c r="R30" t="str">
        <f>IF(Project!R30&gt;0,Project!R30,"")</f>
        <v/>
      </c>
      <c r="S30" t="str">
        <f>IF(Project!S30&gt;0,Project!S30,"")</f>
        <v/>
      </c>
      <c r="T30" t="str">
        <f>IF(Project!T30&gt;0,Project!T30,"")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ALL</vt:lpstr>
      <vt:lpstr>GraphAll</vt:lpstr>
      <vt:lpstr>CPS</vt:lpstr>
      <vt:lpstr>GraphCPS</vt:lpstr>
      <vt:lpstr>PSE</vt:lpstr>
      <vt:lpstr>GraphPSE</vt:lpstr>
      <vt:lpstr>SD</vt:lpstr>
      <vt:lpstr>GraphSD</vt:lpstr>
      <vt:lpstr>AIC</vt:lpstr>
      <vt:lpstr>GraphAIC</vt:lpstr>
      <vt:lpstr>TDE</vt:lpstr>
      <vt:lpstr>GraphTDE</vt:lpstr>
      <vt:lpstr>Project</vt:lpstr>
      <vt:lpstr>GraphPJ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Warissara T</dc:creator>
  <cp:lastModifiedBy>Warissara Teerasoradech</cp:lastModifiedBy>
  <dcterms:created xsi:type="dcterms:W3CDTF">2026-05-07T15:51:47Z</dcterms:created>
  <dcterms:modified xsi:type="dcterms:W3CDTF">2026-05-13T08:22:06Z</dcterms:modified>
</cp:coreProperties>
</file>