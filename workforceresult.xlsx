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esktop/"/>
    </mc:Choice>
  </mc:AlternateContent>
  <xr:revisionPtr revIDLastSave="0" documentId="13_ncr:1_{1E0CF2B5-E501-AF4C-94A9-24AA81D276E6}" xr6:coauthVersionLast="47" xr6:coauthVersionMax="47" xr10:uidLastSave="{00000000-0000-0000-0000-000000000000}"/>
  <bookViews>
    <workbookView xWindow="0" yWindow="500" windowWidth="28800" windowHeight="16120" activeTab="1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3" i="12" l="1"/>
  <c r="E163" i="12"/>
  <c r="D163" i="12"/>
  <c r="C163" i="12"/>
  <c r="B163" i="12"/>
  <c r="A163" i="12"/>
  <c r="F162" i="12"/>
  <c r="E162" i="12"/>
  <c r="D162" i="12"/>
  <c r="C162" i="12"/>
  <c r="B162" i="12"/>
  <c r="A162" i="12"/>
  <c r="F161" i="12"/>
  <c r="E161" i="12"/>
  <c r="D161" i="12"/>
  <c r="C161" i="12"/>
  <c r="B161" i="12"/>
  <c r="F163" i="10"/>
  <c r="E163" i="10"/>
  <c r="D163" i="10"/>
  <c r="C163" i="10"/>
  <c r="B163" i="10"/>
  <c r="A163" i="10"/>
  <c r="F162" i="10"/>
  <c r="E162" i="10"/>
  <c r="D162" i="10"/>
  <c r="C162" i="10"/>
  <c r="B162" i="10"/>
  <c r="A162" i="10"/>
  <c r="F161" i="10"/>
  <c r="E161" i="10"/>
  <c r="D161" i="10"/>
  <c r="C161" i="10"/>
  <c r="B161" i="10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F163" i="6"/>
  <c r="E163" i="6"/>
  <c r="D163" i="6"/>
  <c r="C163" i="6"/>
  <c r="B163" i="6"/>
  <c r="A163" i="6"/>
  <c r="F162" i="6"/>
  <c r="E162" i="6"/>
  <c r="D162" i="6"/>
  <c r="C162" i="6"/>
  <c r="B162" i="6"/>
  <c r="A162" i="6"/>
  <c r="F161" i="6"/>
  <c r="E161" i="6"/>
  <c r="D161" i="6"/>
  <c r="C161" i="6"/>
  <c r="B161" i="6"/>
  <c r="F163" i="4"/>
  <c r="E163" i="4"/>
  <c r="D163" i="4"/>
  <c r="C163" i="4"/>
  <c r="B163" i="4"/>
  <c r="A163" i="4"/>
  <c r="F162" i="4"/>
  <c r="E162" i="4"/>
  <c r="D162" i="4"/>
  <c r="C162" i="4"/>
  <c r="B162" i="4"/>
  <c r="A162" i="4"/>
  <c r="F161" i="4"/>
  <c r="E161" i="4"/>
  <c r="D161" i="4"/>
  <c r="C161" i="4"/>
  <c r="B161" i="4"/>
  <c r="C162" i="3"/>
  <c r="D162" i="3"/>
  <c r="E162" i="3"/>
  <c r="F162" i="3"/>
  <c r="B162" i="3"/>
  <c r="B163" i="3"/>
  <c r="C163" i="3"/>
  <c r="D163" i="3"/>
  <c r="E163" i="3"/>
  <c r="F163" i="3"/>
  <c r="C161" i="3"/>
  <c r="D161" i="3"/>
  <c r="E161" i="3"/>
  <c r="F161" i="3"/>
  <c r="B161" i="3"/>
  <c r="A163" i="3"/>
  <c r="A162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<sst xmlns="http://schemas.openxmlformats.org/spreadsheetml/2006/main" count="745" uniqueCount="128">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</sst>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3"/>
  <sheetViews>
    <sheetView topLeftCell="A141" workbookViewId="0">
      <selection activeCell="A161" sqref="A161:XFD1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61" spans="1:6" x14ac:dyDescent="0.2">
      <c r="B161" t="str">
        <f>ALL!C31</f>
        <v>Q1</v>
      </c>
      <c r="C161" t="str">
        <f>ALL!D31</f>
        <v>Q2</v>
      </c>
      <c r="D161" t="str">
        <f>ALL!E31</f>
        <v>Q3</v>
      </c>
      <c r="E161" t="str">
        <f>ALL!F31</f>
        <v>Q4</v>
      </c>
      <c r="F161" t="str">
        <f>ALL!G31</f>
        <v>Q1'27</v>
      </c>
    </row>
    <row r="162" spans="1:6" x14ac:dyDescent="0.2">
      <c r="A162" t="str">
        <f>ALL!B6</f>
        <v>% Plan</v>
      </c>
      <c r="B162">
        <f>ALL!C36*100</f>
        <v>92.5</v>
      </c>
      <c r="C162">
        <f>ALL!D36*100</f>
        <v>96.179999999999993</v>
      </c>
      <c r="D162">
        <f>ALL!E36*100</f>
        <v>94.28</v>
      </c>
      <c r="E162">
        <f>ALL!F36*100</f>
        <v>87.570000000000007</v>
      </c>
      <c r="F162">
        <f>ALL!G36*100</f>
        <v>81.52000000000001</v>
      </c>
    </row>
    <row r="163" spans="1:6" x14ac:dyDescent="0.2">
      <c r="A163" t="str">
        <f>ALL!B7</f>
        <v>Available FTE</v>
      </c>
      <c r="B163">
        <f>ALL!C37</f>
        <v>11</v>
      </c>
      <c r="C163">
        <f>ALL!D37</f>
        <v>6</v>
      </c>
      <c r="D163">
        <f>ALL!E37</f>
        <v>9</v>
      </c>
      <c r="E163">
        <f>ALL!F37</f>
        <v>19</v>
      </c>
      <c r="F163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8" activePane="bottomLeft" state="frozen"/>
      <selection pane="bottomLeft"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63"/>
  <sheetViews>
    <sheetView topLeftCell="A135" workbookViewId="0">
      <selection activeCell="A161" sqref="A161:XFD1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61" spans="1:6" x14ac:dyDescent="0.2">
      <c r="B161" t="str">
        <f>CPS!C31</f>
        <v>Q1</v>
      </c>
      <c r="C161" t="str">
        <f>CPS!D31</f>
        <v>Q2</v>
      </c>
      <c r="D161" t="str">
        <f>CPS!E31</f>
        <v>Q3</v>
      </c>
      <c r="E161" t="str">
        <f>CPS!F31</f>
        <v>Q4</v>
      </c>
      <c r="F161" t="str">
        <f>CPS!G31</f>
        <v>Q1'27</v>
      </c>
    </row>
    <row r="162" spans="1:6" x14ac:dyDescent="0.2">
      <c r="A162" t="str">
        <f>CPS!B6</f>
        <v>% Plan</v>
      </c>
      <c r="B162">
        <f>CPS!C36*100</f>
        <v>93.43</v>
      </c>
      <c r="C162">
        <f>CPS!D36*100</f>
        <v>102.55000000000001</v>
      </c>
      <c r="D162">
        <f>CPS!E36*100</f>
        <v>94.51</v>
      </c>
      <c r="E162">
        <f>CPS!F36*100</f>
        <v>92.75</v>
      </c>
      <c r="F162">
        <f>CPS!G36*100</f>
        <v>89.41</v>
      </c>
    </row>
    <row r="163" spans="1:6" x14ac:dyDescent="0.2">
      <c r="A163" t="str">
        <f>CPS!B7</f>
        <v>Available FTE</v>
      </c>
      <c r="B163">
        <f>CPS!C37</f>
        <v>1</v>
      </c>
      <c r="C163">
        <f>CPS!D37</f>
        <v>0</v>
      </c>
      <c r="D163">
        <f>CPS!E37</f>
        <v>1</v>
      </c>
      <c r="E163">
        <f>CPS!F37</f>
        <v>1</v>
      </c>
      <c r="F163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3" workbookViewId="0">
      <selection activeCell="I147" sqref="I14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63"/>
  <sheetViews>
    <sheetView topLeftCell="A146" workbookViewId="0">
      <selection activeCell="A161" sqref="A161:XFD1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61" spans="1:6" x14ac:dyDescent="0.2">
      <c r="B161" t="str">
        <f>PSE!C31</f>
        <v>Q1</v>
      </c>
      <c r="C161" t="str">
        <f>PSE!D31</f>
        <v>Q2</v>
      </c>
      <c r="D161" t="str">
        <f>PSE!E31</f>
        <v>Q3</v>
      </c>
      <c r="E161" t="str">
        <f>PSE!F31</f>
        <v>Q4</v>
      </c>
      <c r="F161" t="str">
        <f>PSE!G31</f>
        <v>Q1'27</v>
      </c>
    </row>
    <row r="162" spans="1:6" x14ac:dyDescent="0.2">
      <c r="A162" t="str">
        <f>PSE!B6</f>
        <v>% Plan</v>
      </c>
      <c r="B162">
        <f>PSE!C36*100</f>
        <v>94.24</v>
      </c>
      <c r="C162">
        <f>PSE!D36*100</f>
        <v>94.53</v>
      </c>
      <c r="D162">
        <f>PSE!E36*100</f>
        <v>93.56</v>
      </c>
      <c r="E162">
        <f>PSE!F36*100</f>
        <v>85.9</v>
      </c>
      <c r="F162">
        <f>PSE!G36*100</f>
        <v>78.92</v>
      </c>
    </row>
    <row r="163" spans="1:6" x14ac:dyDescent="0.2">
      <c r="A163" t="str">
        <f>PSE!B7</f>
        <v>Available FTE</v>
      </c>
      <c r="B163">
        <f>PSE!C37</f>
        <v>3</v>
      </c>
      <c r="C163">
        <f>PSE!D37</f>
        <v>3</v>
      </c>
      <c r="D163">
        <f>PSE!E37</f>
        <v>3</v>
      </c>
      <c r="E163">
        <f>PSE!F37</f>
        <v>7</v>
      </c>
      <c r="F163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63"/>
  <sheetViews>
    <sheetView workbookViewId="0">
      <pane ySplit="1" topLeftCell="A145" activePane="bottomLeft" state="frozen"/>
      <selection pane="bottomLeft" activeCell="A161" sqref="A161:XFD1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61" spans="1:6" x14ac:dyDescent="0.2">
      <c r="B161" t="str">
        <f>SD!C31</f>
        <v>Q1</v>
      </c>
      <c r="C161" t="str">
        <f>SD!D31</f>
        <v>Q2</v>
      </c>
      <c r="D161" t="str">
        <f>SD!E31</f>
        <v>Q3</v>
      </c>
      <c r="E161" t="str">
        <f>SD!F31</f>
        <v>Q4</v>
      </c>
      <c r="F161" t="str">
        <f>SD!G31</f>
        <v>Q1'27</v>
      </c>
    </row>
    <row r="162" spans="1:6" x14ac:dyDescent="0.2">
      <c r="A162" t="str">
        <f>SD!B6</f>
        <v>% Plan</v>
      </c>
      <c r="B162">
        <f>SD!C36*100</f>
        <v>100.1</v>
      </c>
      <c r="C162">
        <f>SD!D36*100</f>
        <v>98.850000000000009</v>
      </c>
      <c r="D162">
        <f>SD!E36*100</f>
        <v>100.98</v>
      </c>
      <c r="E162">
        <f>SD!F36*100</f>
        <v>91.24</v>
      </c>
      <c r="F162">
        <f>SD!G36*100</f>
        <v>83.919999999999987</v>
      </c>
    </row>
    <row r="163" spans="1:6" x14ac:dyDescent="0.2">
      <c r="A163" t="str">
        <f>SD!B7</f>
        <v>Available FTE</v>
      </c>
      <c r="B163">
        <f>SD!C37</f>
        <v>0</v>
      </c>
      <c r="C163">
        <f>SD!D37</f>
        <v>1</v>
      </c>
      <c r="D163">
        <f>SD!E37</f>
        <v>0</v>
      </c>
      <c r="E163">
        <f>SD!F37</f>
        <v>4</v>
      </c>
      <c r="F163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63"/>
  <sheetViews>
    <sheetView topLeftCell="A139" workbookViewId="0">
      <selection activeCell="H156" sqref="H15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61" spans="1:6" x14ac:dyDescent="0.2">
      <c r="B161" t="str">
        <f>AIC!C31</f>
        <v>Q1</v>
      </c>
      <c r="C161" t="str">
        <f>AIC!D31</f>
        <v>Q2</v>
      </c>
      <c r="D161" t="str">
        <f>AIC!E31</f>
        <v>Q3</v>
      </c>
      <c r="E161" t="str">
        <f>AIC!F31</f>
        <v>Q4</v>
      </c>
      <c r="F161" t="str">
        <f>AIC!G31</f>
        <v>Q1'27</v>
      </c>
    </row>
    <row r="162" spans="1:6" x14ac:dyDescent="0.2">
      <c r="A162" t="str">
        <f>AIC!B6</f>
        <v>% Plan</v>
      </c>
      <c r="B162">
        <f>AIC!C36*100</f>
        <v>72.070000000000007</v>
      </c>
      <c r="C162">
        <f>AIC!D36*100</f>
        <v>90.03</v>
      </c>
      <c r="D162">
        <f>AIC!E36*100</f>
        <v>79.239999999999995</v>
      </c>
      <c r="E162">
        <f>AIC!F36*100</f>
        <v>71.150000000000006</v>
      </c>
      <c r="F162">
        <f>AIC!G36*100</f>
        <v>62.029999999999994</v>
      </c>
    </row>
    <row r="163" spans="1:6" x14ac:dyDescent="0.2">
      <c r="A163" t="str">
        <f>AIC!B7</f>
        <v>Available FTE</v>
      </c>
      <c r="B163">
        <f>AIC!C37</f>
        <v>6</v>
      </c>
      <c r="C163">
        <f>AIC!D37</f>
        <v>2</v>
      </c>
      <c r="D163">
        <f>AIC!E37</f>
        <v>4</v>
      </c>
      <c r="E163">
        <f>AIC!F37</f>
        <v>5</v>
      </c>
      <c r="F163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54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63"/>
  <sheetViews>
    <sheetView tabSelected="1" topLeftCell="A130" workbookViewId="0">
      <selection activeCell="K158" sqref="K15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61" spans="1:16" x14ac:dyDescent="0.2">
      <c r="A61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71" spans="1:16" x14ac:dyDescent="0.2">
      <c r="A71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81" spans="1:16" x14ac:dyDescent="0.2">
      <c r="A81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61" spans="1:6" x14ac:dyDescent="0.2">
      <c r="B161" t="str">
        <f>TDE!C31</f>
        <v>Q1</v>
      </c>
      <c r="C161" t="str">
        <f>TDE!D31</f>
        <v>Q2</v>
      </c>
      <c r="D161" t="str">
        <f>TDE!E31</f>
        <v>Q3</v>
      </c>
      <c r="E161" t="str">
        <f>TDE!F31</f>
        <v>Q4</v>
      </c>
      <c r="F161" t="str">
        <f>TDE!G31</f>
        <v>Q1'27</v>
      </c>
    </row>
    <row r="162" spans="1:6" x14ac:dyDescent="0.2">
      <c r="A162" t="str">
        <f>TDE!B6</f>
        <v>% Plan</v>
      </c>
      <c r="B162">
        <f>TDE!C36*100</f>
        <v>100</v>
      </c>
      <c r="C162">
        <f>TDE!D36*100</f>
        <v>100</v>
      </c>
      <c r="D162">
        <f>TDE!E36*100</f>
        <v>100</v>
      </c>
      <c r="E162">
        <f>TDE!F36*100</f>
        <v>100</v>
      </c>
      <c r="F162">
        <f>TDE!G36*100</f>
        <v>100</v>
      </c>
    </row>
    <row r="163" spans="1:6" x14ac:dyDescent="0.2">
      <c r="A163" t="str">
        <f>TDE!B7</f>
        <v>Available FTE</v>
      </c>
      <c r="B163">
        <f>TDE!C37</f>
        <v>0</v>
      </c>
      <c r="C163">
        <f>TDE!D37</f>
        <v>0</v>
      </c>
      <c r="D163">
        <f>TDE!E37</f>
        <v>0</v>
      </c>
      <c r="E163">
        <f>TDE!F37</f>
        <v>0</v>
      </c>
      <c r="F163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N24" sqref="N2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30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30"/>
  <sheetViews>
    <sheetView topLeftCell="A6" workbookViewId="0">
      <selection activeCell="N26" sqref="N26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s="58" customFormat="1" x14ac:dyDescent="0.2">
      <c r="A21" s="58" t="str">
        <f>IF(Project!A21&gt;0,Project!A21,"")</f>
        <v>Group Name</v>
      </c>
      <c r="B21" s="58" t="str">
        <f>IF(Project!B21&gt;0,Project!B21,"")</f>
        <v>Presale</v>
      </c>
      <c r="C21" s="58" t="str">
        <f>IF(Project!C21&gt;0,Project!C21,"")</f>
        <v>Project</v>
      </c>
      <c r="D21" s="58" t="str">
        <f>IF(Project!D21&gt;0,Project!D21,"")</f>
        <v>TM</v>
      </c>
      <c r="E21" s="58" t="str">
        <f>IF(Project!E21&gt;0,Project!E21,"")</f>
        <v>Infra</v>
      </c>
      <c r="F21" s="58" t="str">
        <f>IF(Project!F21&gt;0,Project!F21,"")</f>
        <v>Spatial Lab</v>
      </c>
      <c r="G21" s="58" t="str">
        <f>IF(Project!G21&gt;0,Project!G21,"")</f>
        <v>Warmbody</v>
      </c>
      <c r="H21" s="58" t="str">
        <f>IF(Project!H21&gt;0,Project!H21,"")</f>
        <v>Grand Total</v>
      </c>
      <c r="I21" s="58" t="str">
        <f>IF(Project!I21&gt;0,Project!I21,"")</f>
        <v/>
      </c>
      <c r="J21" s="58" t="str">
        <f>IF(Project!J21&gt;0,Project!J21,"")</f>
        <v/>
      </c>
      <c r="K21" s="58" t="str">
        <f>IF(Project!K21&gt;0,Project!K21,"")</f>
        <v/>
      </c>
      <c r="L21" s="58" t="str">
        <f>IF(Project!L21&gt;0,Project!L21,"")</f>
        <v/>
      </c>
      <c r="M21" s="58" t="str">
        <f>IF(Project!M21&gt;0,Project!M21,"")</f>
        <v/>
      </c>
      <c r="N21" s="58" t="str">
        <f>IF(Project!N21&gt;0,Project!N21,"")</f>
        <v/>
      </c>
      <c r="O21" s="58" t="str">
        <f>IF(Project!O21&gt;0,Project!O21,"")</f>
        <v/>
      </c>
      <c r="P21" s="58" t="str">
        <f>IF(Project!P21&gt;0,Project!P21,"")</f>
        <v/>
      </c>
      <c r="Q21" s="58" t="str">
        <f>IF(Project!Q21&gt;0,Project!Q21,"")</f>
        <v/>
      </c>
      <c r="R21" s="58" t="str">
        <f>IF(Project!R21&gt;0,Project!R21,"")</f>
        <v/>
      </c>
      <c r="S21" s="58" t="str">
        <f>IF(Project!S21&gt;0,Project!S21,"")</f>
        <v/>
      </c>
      <c r="T21" s="58" t="str">
        <f>IF(Project!T21&gt;0,Project!T21,"")</f>
        <v/>
      </c>
    </row>
    <row r="22" spans="1:20" x14ac:dyDescent="0.2">
      <c r="A22" t="str">
        <f>IF(Project!A22&gt;0,Project!A22,"")</f>
        <v>IT Dist</v>
      </c>
      <c r="B22">
        <f>IF(Project!B22&gt;0,Project!B22,"")</f>
        <v>36</v>
      </c>
      <c r="C22" t="str">
        <f>IF(Project!C22&gt;0,Project!C22,"")</f>
        <v/>
      </c>
      <c r="D22" t="str">
        <f>IF(Project!D22&gt;0,Project!D22,"")</f>
        <v/>
      </c>
      <c r="E22" t="str">
        <f>IF(Project!E22&gt;0,Project!E22,"")</f>
        <v/>
      </c>
      <c r="F22" t="str">
        <f>IF(Project!F22&gt;0,Project!F22,"")</f>
        <v/>
      </c>
      <c r="G22">
        <f>IF(Project!G22&gt;0,Project!G22,"")</f>
        <v>180</v>
      </c>
      <c r="H22">
        <f>IF(Project!H22&gt;0,Project!H22,"")</f>
        <v>216</v>
      </c>
      <c r="I22" t="str">
        <f>IF(Project!I22&gt;0,Project!I22,"")</f>
        <v/>
      </c>
      <c r="J22" t="str">
        <f>IF(Project!J22&gt;0,Project!J22,"")</f>
        <v/>
      </c>
      <c r="K22" t="str">
        <f>IF(Project!K22&gt;0,Project!K22,"")</f>
        <v/>
      </c>
      <c r="L22" t="str">
        <f>IF(Project!L22&gt;0,Project!L22,"")</f>
        <v/>
      </c>
      <c r="M22" t="str">
        <f>IF(Project!M22&gt;0,Project!M22,"")</f>
        <v/>
      </c>
      <c r="N22" t="str">
        <f>IF(Project!N22&gt;0,Project!N22,"")</f>
        <v/>
      </c>
      <c r="O22" t="str">
        <f>IF(Project!O22&gt;0,Project!O22,"")</f>
        <v/>
      </c>
      <c r="P22" t="str">
        <f>IF(Project!P22&gt;0,Project!P22,"")</f>
        <v/>
      </c>
      <c r="Q22" t="str">
        <f>IF(Project!Q22&gt;0,Project!Q22,"")</f>
        <v/>
      </c>
      <c r="R22" t="str">
        <f>IF(Project!R22&gt;0,Project!R22,"")</f>
        <v/>
      </c>
      <c r="S22" t="str">
        <f>IF(Project!S22&gt;0,Project!S22,"")</f>
        <v/>
      </c>
      <c r="T22" t="str">
        <f>IF(Project!T22&gt;0,Project!T22,"")</f>
        <v/>
      </c>
    </row>
    <row r="23" spans="1:20" x14ac:dyDescent="0.2">
      <c r="A23" t="str">
        <f>IF(Project!A23&gt;0,Project!A23,"")</f>
        <v>SCGP e-Ordering</v>
      </c>
      <c r="B23">
        <f>IF(Project!B23&gt;0,Project!B23,"")</f>
        <v>2.7</v>
      </c>
      <c r="C23">
        <f>IF(Project!C23&gt;0,Project!C23,"")</f>
        <v>154.05000000000001</v>
      </c>
      <c r="D23">
        <f>IF(Project!D23&gt;0,Project!D23,"")</f>
        <v>5.13</v>
      </c>
      <c r="E23">
        <f>IF(Project!E23&gt;0,Project!E23,"")</f>
        <v>0.9</v>
      </c>
      <c r="F23" t="str">
        <f>IF(Project!F23&gt;0,Project!F23,"")</f>
        <v/>
      </c>
      <c r="G23" t="str">
        <f>IF(Project!G23&gt;0,Project!G23,"")</f>
        <v/>
      </c>
      <c r="H23">
        <f>IF(Project!H23&gt;0,Project!H23,"")</f>
        <v>162.78</v>
      </c>
      <c r="I23" t="str">
        <f>IF(Project!I23&gt;0,Project!I23,"")</f>
        <v/>
      </c>
      <c r="J23" t="str">
        <f>IF(Project!J23&gt;0,Project!J23,"")</f>
        <v/>
      </c>
      <c r="K23" t="str">
        <f>IF(Project!K23&gt;0,Project!K23,"")</f>
        <v/>
      </c>
      <c r="L23" t="str">
        <f>IF(Project!L23&gt;0,Project!L23,"")</f>
        <v/>
      </c>
      <c r="M23" t="str">
        <f>IF(Project!M23&gt;0,Project!M23,"")</f>
        <v/>
      </c>
      <c r="N23" t="str">
        <f>IF(Project!N23&gt;0,Project!N23,"")</f>
        <v/>
      </c>
      <c r="O23" t="str">
        <f>IF(Project!O23&gt;0,Project!O23,"")</f>
        <v/>
      </c>
      <c r="P23" t="str">
        <f>IF(Project!P23&gt;0,Project!P23,"")</f>
        <v/>
      </c>
      <c r="Q23" t="str">
        <f>IF(Project!Q23&gt;0,Project!Q23,"")</f>
        <v/>
      </c>
      <c r="R23" t="str">
        <f>IF(Project!R23&gt;0,Project!R23,"")</f>
        <v/>
      </c>
      <c r="S23" t="str">
        <f>IF(Project!S23&gt;0,Project!S23,"")</f>
        <v/>
      </c>
      <c r="T23" t="str">
        <f>IF(Project!T23&gt;0,Project!T23,"")</f>
        <v/>
      </c>
    </row>
    <row r="24" spans="1:20" x14ac:dyDescent="0.2">
      <c r="A24" t="str">
        <f>IF(Project!A24&gt;0,Project!A24,"")</f>
        <v>CAP (Common AI Platform)</v>
      </c>
      <c r="B24" t="str">
        <f>IF(Project!B24&gt;0,Project!B24,"")</f>
        <v/>
      </c>
      <c r="C24">
        <f>IF(Project!C24&gt;0,Project!C24,"")</f>
        <v>63.6</v>
      </c>
      <c r="D24" t="str">
        <f>IF(Project!D24&gt;0,Project!D24,"")</f>
        <v/>
      </c>
      <c r="E24" t="str">
        <f>IF(Project!E24&gt;0,Project!E24,"")</f>
        <v/>
      </c>
      <c r="F24" t="str">
        <f>IF(Project!F24&gt;0,Project!F24,"")</f>
        <v/>
      </c>
      <c r="G24" t="str">
        <f>IF(Project!G24&gt;0,Project!G24,"")</f>
        <v/>
      </c>
      <c r="H24">
        <f>IF(Project!H24&gt;0,Project!H24,"")</f>
        <v>63.6</v>
      </c>
      <c r="I24" t="str">
        <f>IF(Project!I24&gt;0,Project!I24,"")</f>
        <v/>
      </c>
      <c r="J24" t="str">
        <f>IF(Project!J24&gt;0,Project!J24,"")</f>
        <v/>
      </c>
      <c r="K24" t="str">
        <f>IF(Project!K24&gt;0,Project!K24,"")</f>
        <v/>
      </c>
      <c r="L24" t="str">
        <f>IF(Project!L24&gt;0,Project!L24,"")</f>
        <v/>
      </c>
      <c r="M24" t="str">
        <f>IF(Project!M24&gt;0,Project!M24,"")</f>
        <v/>
      </c>
      <c r="N24" t="str">
        <f>IF(Project!N24&gt;0,Project!N24,"")</f>
        <v/>
      </c>
      <c r="O24" t="str">
        <f>IF(Project!O24&gt;0,Project!O24,"")</f>
        <v/>
      </c>
      <c r="P24" t="str">
        <f>IF(Project!P24&gt;0,Project!P24,"")</f>
        <v/>
      </c>
      <c r="Q24" t="str">
        <f>IF(Project!Q24&gt;0,Project!Q24,"")</f>
        <v/>
      </c>
      <c r="R24" t="str">
        <f>IF(Project!R24&gt;0,Project!R24,"")</f>
        <v/>
      </c>
      <c r="S24" t="str">
        <f>IF(Project!S24&gt;0,Project!S24,"")</f>
        <v/>
      </c>
      <c r="T24" t="str">
        <f>IF(Project!T24&gt;0,Project!T24,"")</f>
        <v/>
      </c>
    </row>
    <row r="25" spans="1:20" x14ac:dyDescent="0.2">
      <c r="A25" t="str">
        <f>IF(Project!A25&gt;0,Project!A25,"")</f>
        <v>PromptPlus</v>
      </c>
      <c r="B25" t="str">
        <f>IF(Project!B25&gt;0,Project!B25,"")</f>
        <v/>
      </c>
      <c r="C25">
        <f>IF(Project!C25&gt;0,Project!C25,"")</f>
        <v>27.375</v>
      </c>
      <c r="D25" t="str">
        <f>IF(Project!D25&gt;0,Project!D25,"")</f>
        <v/>
      </c>
      <c r="E25" t="str">
        <f>IF(Project!E25&gt;0,Project!E25,"")</f>
        <v/>
      </c>
      <c r="F25" t="str">
        <f>IF(Project!F25&gt;0,Project!F25,"")</f>
        <v/>
      </c>
      <c r="G25">
        <f>IF(Project!G25&gt;0,Project!G25,"")</f>
        <v>23.7</v>
      </c>
      <c r="H25">
        <f>IF(Project!H25&gt;0,Project!H25,"")</f>
        <v>51.075000000000003</v>
      </c>
      <c r="I25" t="str">
        <f>IF(Project!I25&gt;0,Project!I25,"")</f>
        <v/>
      </c>
      <c r="J25" t="str">
        <f>IF(Project!J25&gt;0,Project!J25,"")</f>
        <v/>
      </c>
      <c r="K25" t="str">
        <f>IF(Project!K25&gt;0,Project!K25,"")</f>
        <v/>
      </c>
      <c r="L25" t="str">
        <f>IF(Project!L25&gt;0,Project!L25,"")</f>
        <v/>
      </c>
      <c r="M25" t="str">
        <f>IF(Project!M25&gt;0,Project!M25,"")</f>
        <v/>
      </c>
      <c r="N25" t="str">
        <f>IF(Project!N25&gt;0,Project!N25,"")</f>
        <v/>
      </c>
      <c r="O25" t="str">
        <f>IF(Project!O25&gt;0,Project!O25,"")</f>
        <v/>
      </c>
      <c r="P25" t="str">
        <f>IF(Project!P25&gt;0,Project!P25,"")</f>
        <v/>
      </c>
      <c r="Q25" t="str">
        <f>IF(Project!Q25&gt;0,Project!Q25,"")</f>
        <v/>
      </c>
      <c r="R25" t="str">
        <f>IF(Project!R25&gt;0,Project!R25,"")</f>
        <v/>
      </c>
      <c r="S25" t="str">
        <f>IF(Project!S25&gt;0,Project!S25,"")</f>
        <v/>
      </c>
      <c r="T25" t="str">
        <f>IF(Project!T25&gt;0,Project!T25,"")</f>
        <v/>
      </c>
    </row>
    <row r="26" spans="1:20" x14ac:dyDescent="0.2">
      <c r="A26" t="str">
        <f>IF(Project!A26&gt;0,Project!A26,"")</f>
        <v>WeShape platform</v>
      </c>
      <c r="B26">
        <f>IF(Project!B26&gt;0,Project!B26,"")</f>
        <v>0.8</v>
      </c>
      <c r="C26" t="str">
        <f>IF(Project!C26&gt;0,Project!C26,"")</f>
        <v/>
      </c>
      <c r="D26" t="str">
        <f>IF(Project!D26&gt;0,Project!D26,"")</f>
        <v/>
      </c>
      <c r="E26" t="str">
        <f>IF(Project!E26&gt;0,Project!E26,"")</f>
        <v/>
      </c>
      <c r="F26">
        <f>IF(Project!F26&gt;0,Project!F26,"")</f>
        <v>34.655000000000001</v>
      </c>
      <c r="G26" t="str">
        <f>IF(Project!G26&gt;0,Project!G26,"")</f>
        <v/>
      </c>
      <c r="H26">
        <f>IF(Project!H26&gt;0,Project!H26,"")</f>
        <v>35.454999999999998</v>
      </c>
      <c r="I26" t="str">
        <f>IF(Project!I26&gt;0,Project!I26,"")</f>
        <v/>
      </c>
      <c r="J26" t="str">
        <f>IF(Project!J26&gt;0,Project!J26,"")</f>
        <v/>
      </c>
      <c r="K26" t="str">
        <f>IF(Project!K26&gt;0,Project!K26,"")</f>
        <v/>
      </c>
      <c r="L26" t="str">
        <f>IF(Project!L26&gt;0,Project!L26,"")</f>
        <v/>
      </c>
      <c r="M26" t="str">
        <f>IF(Project!M26&gt;0,Project!M26,"")</f>
        <v/>
      </c>
      <c r="N26" t="str">
        <f>IF(Project!N26&gt;0,Project!N26,"")</f>
        <v/>
      </c>
      <c r="O26" t="str">
        <f>IF(Project!O26&gt;0,Project!O26,"")</f>
        <v/>
      </c>
      <c r="P26" t="str">
        <f>IF(Project!P26&gt;0,Project!P26,"")</f>
        <v/>
      </c>
      <c r="Q26" t="str">
        <f>IF(Project!Q26&gt;0,Project!Q26,"")</f>
        <v/>
      </c>
      <c r="R26" t="str">
        <f>IF(Project!R26&gt;0,Project!R26,"")</f>
        <v/>
      </c>
      <c r="S26" t="str">
        <f>IF(Project!S26&gt;0,Project!S26,"")</f>
        <v/>
      </c>
      <c r="T26" t="str">
        <f>IF(Project!T26&gt;0,Project!T26,"")</f>
        <v/>
      </c>
    </row>
    <row r="27" spans="1:20" x14ac:dyDescent="0.2">
      <c r="A27" t="str">
        <f>IF(Project!A27&gt;0,Project!A27,"")</f>
        <v/>
      </c>
      <c r="B27" t="str">
        <f>IF(Project!B27&gt;0,Project!B27,"")</f>
        <v/>
      </c>
      <c r="C27" t="str">
        <f>IF(Project!C27&gt;0,Project!C27,"")</f>
        <v/>
      </c>
      <c r="D27" t="str">
        <f>IF(Project!D27&gt;0,Project!D27,"")</f>
        <v/>
      </c>
      <c r="E27" t="str">
        <f>IF(Project!E27&gt;0,Project!E27,"")</f>
        <v/>
      </c>
      <c r="F27" t="str">
        <f>IF(Project!F27&gt;0,Project!F27,"")</f>
        <v/>
      </c>
      <c r="G27" t="str">
        <f>IF(Project!G27&gt;0,Project!G27,"")</f>
        <v/>
      </c>
      <c r="H27" t="str">
        <f>IF(Project!H27&gt;0,Project!H27,"")</f>
        <v/>
      </c>
      <c r="I27" t="str">
        <f>IF(Project!I27&gt;0,Project!I27,"")</f>
        <v/>
      </c>
      <c r="J27" t="str">
        <f>IF(Project!J27&gt;0,Project!J27,"")</f>
        <v/>
      </c>
      <c r="K27" t="str">
        <f>IF(Project!K27&gt;0,Project!K27,"")</f>
        <v/>
      </c>
      <c r="L27" t="str">
        <f>IF(Project!L27&gt;0,Project!L27,"")</f>
        <v/>
      </c>
      <c r="M27" t="str">
        <f>IF(Project!M27&gt;0,Project!M27,"")</f>
        <v/>
      </c>
      <c r="N27" t="str">
        <f>IF(Project!N27&gt;0,Project!N27,"")</f>
        <v/>
      </c>
      <c r="O27" t="str">
        <f>IF(Project!O27&gt;0,Project!O27,"")</f>
        <v/>
      </c>
      <c r="P27" t="str">
        <f>IF(Project!P27&gt;0,Project!P27,"")</f>
        <v/>
      </c>
      <c r="Q27" t="str">
        <f>IF(Project!Q27&gt;0,Project!Q27,"")</f>
        <v/>
      </c>
      <c r="R27" t="str">
        <f>IF(Project!R27&gt;0,Project!R27,"")</f>
        <v/>
      </c>
      <c r="S27" t="str">
        <f>IF(Project!S27&gt;0,Project!S27,"")</f>
        <v/>
      </c>
      <c r="T27" t="str">
        <f>IF(Project!T27&gt;0,Project!T27,"")</f>
        <v/>
      </c>
    </row>
    <row r="28" spans="1:20" x14ac:dyDescent="0.2">
      <c r="A28" t="str">
        <f>IF(Project!A28&gt;0,Project!A28,"")</f>
        <v/>
      </c>
      <c r="B28" t="str">
        <f>IF(Project!B28&gt;0,Project!B28,"")</f>
        <v/>
      </c>
      <c r="C28" t="str">
        <f>IF(Project!C28&gt;0,Project!C28,"")</f>
        <v/>
      </c>
      <c r="D28" t="str">
        <f>IF(Project!D28&gt;0,Project!D28,"")</f>
        <v/>
      </c>
      <c r="E28" t="str">
        <f>IF(Project!E28&gt;0,Project!E28,"")</f>
        <v/>
      </c>
      <c r="F28" t="str">
        <f>IF(Project!F28&gt;0,Project!F28,"")</f>
        <v/>
      </c>
      <c r="G28" t="str">
        <f>IF(Project!G28&gt;0,Project!G28,"")</f>
        <v/>
      </c>
      <c r="H28" t="str">
        <f>IF(Project!H28&gt;0,Project!H28,"")</f>
        <v/>
      </c>
      <c r="I28" t="str">
        <f>IF(Project!I28&gt;0,Project!I28,"")</f>
        <v/>
      </c>
      <c r="J28" t="str">
        <f>IF(Project!J28&gt;0,Project!J28,"")</f>
        <v/>
      </c>
      <c r="K28" t="str">
        <f>IF(Project!K28&gt;0,Project!K28,"")</f>
        <v/>
      </c>
      <c r="L28" t="str">
        <f>IF(Project!L28&gt;0,Project!L28,"")</f>
        <v/>
      </c>
      <c r="M28" t="str">
        <f>IF(Project!M28&gt;0,Project!M28,"")</f>
        <v/>
      </c>
      <c r="N28" t="str">
        <f>IF(Project!N28&gt;0,Project!N28,"")</f>
        <v/>
      </c>
      <c r="O28" t="str">
        <f>IF(Project!O28&gt;0,Project!O28,"")</f>
        <v/>
      </c>
      <c r="P28" t="str">
        <f>IF(Project!P28&gt;0,Project!P28,"")</f>
        <v/>
      </c>
      <c r="Q28" t="str">
        <f>IF(Project!Q28&gt;0,Project!Q28,"")</f>
        <v/>
      </c>
      <c r="R28" t="str">
        <f>IF(Project!R28&gt;0,Project!R28,"")</f>
        <v/>
      </c>
      <c r="S28" t="str">
        <f>IF(Project!S28&gt;0,Project!S28,"")</f>
        <v/>
      </c>
      <c r="T28" t="str">
        <f>IF(Project!T28&gt;0,Project!T28,"")</f>
        <v/>
      </c>
    </row>
    <row r="29" spans="1:20" x14ac:dyDescent="0.2">
      <c r="A29" t="str">
        <f>IF(Project!A29&gt;0,Project!A29,"")</f>
        <v/>
      </c>
      <c r="B29" t="str">
        <f>IF(Project!B29&gt;0,Project!B29,"")</f>
        <v/>
      </c>
      <c r="C29" t="str">
        <f>IF(Project!C29&gt;0,Project!C29,"")</f>
        <v/>
      </c>
      <c r="D29" t="str">
        <f>IF(Project!D29&gt;0,Project!D29,"")</f>
        <v/>
      </c>
      <c r="E29" t="str">
        <f>IF(Project!E29&gt;0,Project!E29,"")</f>
        <v/>
      </c>
      <c r="F29" t="str">
        <f>IF(Project!F29&gt;0,Project!F29,"")</f>
        <v/>
      </c>
      <c r="G29" t="str">
        <f>IF(Project!G29&gt;0,Project!G29,"")</f>
        <v/>
      </c>
      <c r="H29" t="str">
        <f>IF(Project!H29&gt;0,Project!H29,"")</f>
        <v/>
      </c>
      <c r="I29" t="str">
        <f>IF(Project!I29&gt;0,Project!I29,"")</f>
        <v/>
      </c>
      <c r="J29" t="str">
        <f>IF(Project!J29&gt;0,Project!J29,"")</f>
        <v/>
      </c>
      <c r="K29" t="str">
        <f>IF(Project!K29&gt;0,Project!K29,"")</f>
        <v/>
      </c>
      <c r="L29" t="str">
        <f>IF(Project!L29&gt;0,Project!L29,"")</f>
        <v/>
      </c>
      <c r="M29" t="str">
        <f>IF(Project!M29&gt;0,Project!M29,"")</f>
        <v/>
      </c>
      <c r="N29" t="str">
        <f>IF(Project!N29&gt;0,Project!N29,"")</f>
        <v/>
      </c>
      <c r="O29" t="str">
        <f>IF(Project!O29&gt;0,Project!O29,"")</f>
        <v/>
      </c>
      <c r="P29" t="str">
        <f>IF(Project!P29&gt;0,Project!P29,"")</f>
        <v/>
      </c>
      <c r="Q29" t="str">
        <f>IF(Project!Q29&gt;0,Project!Q29,"")</f>
        <v/>
      </c>
      <c r="R29" t="str">
        <f>IF(Project!R29&gt;0,Project!R29,"")</f>
        <v/>
      </c>
      <c r="S29" t="str">
        <f>IF(Project!S29&gt;0,Project!S29,"")</f>
        <v/>
      </c>
      <c r="T29" t="str">
        <f>IF(Project!T29&gt;0,Project!T29,"")</f>
        <v/>
      </c>
    </row>
    <row r="30" spans="1:20" x14ac:dyDescent="0.2">
      <c r="A30" t="str">
        <f>IF(Project!A30&gt;0,Project!A30,"")</f>
        <v/>
      </c>
      <c r="B30" t="str">
        <f>IF(Project!B30&gt;0,Project!B30,"")</f>
        <v/>
      </c>
      <c r="C30" t="str">
        <f>IF(Project!C30&gt;0,Project!C30,"")</f>
        <v/>
      </c>
      <c r="D30" t="str">
        <f>IF(Project!D30&gt;0,Project!D30,"")</f>
        <v/>
      </c>
      <c r="E30" t="str">
        <f>IF(Project!E30&gt;0,Project!E30,"")</f>
        <v/>
      </c>
      <c r="F30" t="str">
        <f>IF(Project!F30&gt;0,Project!F30,"")</f>
        <v/>
      </c>
      <c r="G30" t="str">
        <f>IF(Project!G30&gt;0,Project!G30,"")</f>
        <v/>
      </c>
      <c r="H30" t="str">
        <f>IF(Project!H30&gt;0,Project!H30,"")</f>
        <v/>
      </c>
      <c r="I30" t="str">
        <f>IF(Project!I30&gt;0,Project!I30,"")</f>
        <v/>
      </c>
      <c r="J30" t="str">
        <f>IF(Project!J30&gt;0,Project!J30,"")</f>
        <v/>
      </c>
      <c r="K30" t="str">
        <f>IF(Project!K30&gt;0,Project!K30,"")</f>
        <v/>
      </c>
      <c r="L30" t="str">
        <f>IF(Project!L30&gt;0,Project!L30,"")</f>
        <v/>
      </c>
      <c r="M30" t="str">
        <f>IF(Project!M30&gt;0,Project!M30,"")</f>
        <v/>
      </c>
      <c r="N30" t="str">
        <f>IF(Project!N30&gt;0,Project!N30,"")</f>
        <v/>
      </c>
      <c r="O30" t="str">
        <f>IF(Project!O30&gt;0,Project!O30,"")</f>
        <v/>
      </c>
      <c r="P30" t="str">
        <f>IF(Project!P30&gt;0,Project!P30,"")</f>
        <v/>
      </c>
      <c r="Q30" t="str">
        <f>IF(Project!Q30&gt;0,Project!Q30,"")</f>
        <v/>
      </c>
      <c r="R30" t="str">
        <f>IF(Project!R30&gt;0,Project!R30,"")</f>
        <v/>
      </c>
      <c r="S30" t="str">
        <f>IF(Project!S30&gt;0,Project!S30,"")</f>
        <v/>
      </c>
      <c r="T30" t="str">
        <f>IF(Project!T30&gt;0,Project!T30,"")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2026-05-13T08:51:02Z</dcterms:modified>
</cp:coreProperties>
</file>