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872FD1FC-0569-B542-924A-E879454B919E}" xr6:coauthVersionLast="47" xr6:coauthVersionMax="47" xr10:uidLastSave="{00000000-0000-0000-0000-000000000000}"/>
  <bookViews>
    <workbookView xWindow="16440" yWindow="7760" windowWidth="28360" windowHeight="12340" activeTab="13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4" l="1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G51" i="13"/>
  <c r="H51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C51" i="13" s="1"/>
  <c r="D40" i="13"/>
  <c r="D51" i="13" s="1"/>
  <c r="E40" i="13"/>
  <c r="E51" i="13" s="1"/>
  <c r="F40" i="13"/>
  <c r="G40" i="13"/>
  <c r="H40" i="13"/>
  <c r="I40" i="13"/>
  <c r="J40" i="13"/>
  <c r="J51" i="13" s="1"/>
  <c r="K40" i="13"/>
  <c r="L40" i="13"/>
  <c r="M40" i="13"/>
  <c r="M51" i="13" s="1"/>
  <c r="B40" i="13"/>
  <c r="B51" i="13" s="1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E163" i="3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B136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B54" i="4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1" i="14"/>
  <c r="F22" i="14"/>
  <c r="F23" i="14"/>
  <c r="F24" i="14"/>
  <c r="F25" i="14"/>
  <c r="F26" i="14"/>
  <c r="A27" i="14"/>
  <c r="B27" i="14"/>
  <c r="B28" i="14"/>
  <c r="C27" i="14"/>
  <c r="C28" i="14"/>
  <c r="D27" i="14"/>
  <c r="D28" i="14"/>
  <c r="E27" i="14"/>
  <c r="E28" i="14"/>
  <c r="F27" i="14"/>
  <c r="F28" i="14"/>
  <c r="F86" i="12"/>
  <c r="E86" i="12"/>
  <c r="D86" i="12"/>
  <c r="C86" i="12"/>
  <c r="B86" i="12"/>
  <c r="A86" i="12"/>
  <c r="F85" i="12"/>
  <c r="E85" i="12"/>
  <c r="D85" i="12"/>
  <c r="C85" i="12"/>
  <c r="B85" i="12"/>
  <c r="F76" i="12"/>
  <c r="E76" i="12"/>
  <c r="D76" i="12"/>
  <c r="C76" i="12"/>
  <c r="B76" i="12"/>
  <c r="A76" i="12"/>
  <c r="F75" i="12"/>
  <c r="E75" i="12"/>
  <c r="D75" i="12"/>
  <c r="C75" i="12"/>
  <c r="B75" i="12"/>
  <c r="F66" i="12"/>
  <c r="E66" i="12"/>
  <c r="D66" i="12"/>
  <c r="C66" i="12"/>
  <c r="B66" i="12"/>
  <c r="A66" i="12"/>
  <c r="F65" i="12"/>
  <c r="E65" i="12"/>
  <c r="D65" i="12"/>
  <c r="C65" i="12"/>
  <c r="B65" i="12"/>
  <c r="F56" i="12"/>
  <c r="E56" i="12"/>
  <c r="D56" i="12"/>
  <c r="C56" i="12"/>
  <c r="B56" i="12"/>
  <c r="A56" i="12"/>
  <c r="F55" i="12"/>
  <c r="E55" i="12"/>
  <c r="D55" i="12"/>
  <c r="C55" i="12"/>
  <c r="B55" i="12"/>
  <c r="B96" i="10"/>
  <c r="A96" i="10"/>
  <c r="F95" i="10"/>
  <c r="E95" i="10"/>
  <c r="D95" i="10"/>
  <c r="C95" i="10"/>
  <c r="B95" i="10"/>
  <c r="F86" i="10"/>
  <c r="E86" i="10"/>
  <c r="D86" i="10"/>
  <c r="C86" i="10"/>
  <c r="B86" i="10"/>
  <c r="A86" i="10"/>
  <c r="F85" i="10"/>
  <c r="E85" i="10"/>
  <c r="D85" i="10"/>
  <c r="C85" i="10"/>
  <c r="B85" i="10"/>
  <c r="F76" i="10"/>
  <c r="E76" i="10"/>
  <c r="D76" i="10"/>
  <c r="C76" i="10"/>
  <c r="B76" i="10"/>
  <c r="A76" i="10"/>
  <c r="F75" i="10"/>
  <c r="E75" i="10"/>
  <c r="D75" i="10"/>
  <c r="C75" i="10"/>
  <c r="B75" i="10"/>
  <c r="F66" i="10"/>
  <c r="E66" i="10"/>
  <c r="D66" i="10"/>
  <c r="C66" i="10"/>
  <c r="B66" i="10"/>
  <c r="A66" i="10"/>
  <c r="F65" i="10"/>
  <c r="E65" i="10"/>
  <c r="D65" i="10"/>
  <c r="C65" i="10"/>
  <c r="B65" i="10"/>
  <c r="F56" i="10"/>
  <c r="E56" i="10"/>
  <c r="D56" i="10"/>
  <c r="C56" i="10"/>
  <c r="B56" i="10"/>
  <c r="A56" i="10"/>
  <c r="F55" i="10"/>
  <c r="E55" i="10"/>
  <c r="D55" i="10"/>
  <c r="C55" i="10"/>
  <c r="B55" i="10"/>
  <c r="F136" i="8"/>
  <c r="E136" i="8"/>
  <c r="D136" i="8"/>
  <c r="C136" i="8"/>
  <c r="A136" i="8"/>
  <c r="F135" i="8"/>
  <c r="E135" i="8"/>
  <c r="D135" i="8"/>
  <c r="C135" i="8"/>
  <c r="B135" i="8"/>
  <c r="F126" i="8"/>
  <c r="E126" i="8"/>
  <c r="D126" i="8"/>
  <c r="C126" i="8"/>
  <c r="B126" i="8"/>
  <c r="A126" i="8"/>
  <c r="F125" i="8"/>
  <c r="E125" i="8"/>
  <c r="D125" i="8"/>
  <c r="C125" i="8"/>
  <c r="B125" i="8"/>
  <c r="F116" i="8"/>
  <c r="E116" i="8"/>
  <c r="D116" i="8"/>
  <c r="C116" i="8"/>
  <c r="B116" i="8"/>
  <c r="A116" i="8"/>
  <c r="F115" i="8"/>
  <c r="E115" i="8"/>
  <c r="D115" i="8"/>
  <c r="C115" i="8"/>
  <c r="B115" i="8"/>
  <c r="F106" i="8"/>
  <c r="E106" i="8"/>
  <c r="D106" i="8"/>
  <c r="C106" i="8"/>
  <c r="B106" i="8"/>
  <c r="A106" i="8"/>
  <c r="F105" i="8"/>
  <c r="E105" i="8"/>
  <c r="D105" i="8"/>
  <c r="C105" i="8"/>
  <c r="B105" i="8"/>
  <c r="F96" i="8"/>
  <c r="E96" i="8"/>
  <c r="D96" i="8"/>
  <c r="C96" i="8"/>
  <c r="B96" i="8"/>
  <c r="A96" i="8"/>
  <c r="F95" i="8"/>
  <c r="E95" i="8"/>
  <c r="D95" i="8"/>
  <c r="C95" i="8"/>
  <c r="B95" i="8"/>
  <c r="F86" i="8"/>
  <c r="E86" i="8"/>
  <c r="D86" i="8"/>
  <c r="C86" i="8"/>
  <c r="B86" i="8"/>
  <c r="A86" i="8"/>
  <c r="F85" i="8"/>
  <c r="E85" i="8"/>
  <c r="D85" i="8"/>
  <c r="C85" i="8"/>
  <c r="B85" i="8"/>
  <c r="F76" i="8"/>
  <c r="E76" i="8"/>
  <c r="D76" i="8"/>
  <c r="C76" i="8"/>
  <c r="B76" i="8"/>
  <c r="A76" i="8"/>
  <c r="F75" i="8"/>
  <c r="E75" i="8"/>
  <c r="D75" i="8"/>
  <c r="C75" i="8"/>
  <c r="B75" i="8"/>
  <c r="F66" i="8"/>
  <c r="E66" i="8"/>
  <c r="D66" i="8"/>
  <c r="C66" i="8"/>
  <c r="B66" i="8"/>
  <c r="A66" i="8"/>
  <c r="F65" i="8"/>
  <c r="E65" i="8"/>
  <c r="D65" i="8"/>
  <c r="C65" i="8"/>
  <c r="B65" i="8"/>
  <c r="F56" i="8"/>
  <c r="E56" i="8"/>
  <c r="D56" i="8"/>
  <c r="C56" i="8"/>
  <c r="B56" i="8"/>
  <c r="A56" i="8"/>
  <c r="F55" i="8"/>
  <c r="E55" i="8"/>
  <c r="D55" i="8"/>
  <c r="C55" i="8"/>
  <c r="B55" i="8"/>
  <c r="F66" i="6"/>
  <c r="E66" i="6"/>
  <c r="D66" i="6"/>
  <c r="C66" i="6"/>
  <c r="B66" i="6"/>
  <c r="A66" i="6"/>
  <c r="F65" i="6"/>
  <c r="E65" i="6"/>
  <c r="D65" i="6"/>
  <c r="C65" i="6"/>
  <c r="B65" i="6"/>
  <c r="F56" i="6"/>
  <c r="E56" i="6"/>
  <c r="D56" i="6"/>
  <c r="C56" i="6"/>
  <c r="B56" i="6"/>
  <c r="A56" i="6"/>
  <c r="F55" i="6"/>
  <c r="E55" i="6"/>
  <c r="D55" i="6"/>
  <c r="C55" i="6"/>
  <c r="B55" i="6"/>
  <c r="F66" i="4"/>
  <c r="E66" i="4"/>
  <c r="D66" i="4"/>
  <c r="C66" i="4"/>
  <c r="B66" i="4"/>
  <c r="A66" i="4"/>
  <c r="F65" i="4"/>
  <c r="E65" i="4"/>
  <c r="D65" i="4"/>
  <c r="C65" i="4"/>
  <c r="B65" i="4"/>
  <c r="C55" i="4"/>
  <c r="D55" i="4"/>
  <c r="E55" i="4"/>
  <c r="F55" i="4"/>
  <c r="A56" i="4"/>
  <c r="F56" i="4"/>
  <c r="E56" i="4"/>
  <c r="D56" i="4"/>
  <c r="C56" i="4"/>
  <c r="B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  <c r="L51" i="13" l="1"/>
  <c r="K51" i="13"/>
  <c r="I51" i="13"/>
  <c r="F51" i="13"/>
</calcChain>
</file>

<file path=xl/sharedStrings.xml><?xml version="1.0" encoding="utf-8"?>
<sst xmlns="http://schemas.openxmlformats.org/spreadsheetml/2006/main" count="792" uniqueCount="138">
  <si>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</si>
  <si>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</si>
  <si>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</si>
  <si>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</si>
  <si>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</si>
  <si>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</si>
  <si>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</si>
  <si>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</si>
  <si>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</si>
  <si>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</si>
  <si>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</si>
  <si>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</si>
  <si>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</si>
  <si>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</si>
  <si>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</si>
  <si>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</si>
  <si>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</si>
  <si>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</si>
  <si>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</si>
  <si>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</si>
  <si>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</si>
  <si>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</si>
  <si>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</si>
  <si>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</si>
  <si>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</si>
  <si>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</si>
  <si>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</si>
  <si>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</si>
  <si>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</si>
  <si>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</si>
  <si>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</si>
  <si>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</si>
  <si>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</si>
  <si>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</si>
  <si>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</si>
  <si>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</si>
  <si>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</si>
  <si>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</si>
  <si>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</si>
  <si>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</si>
  <si>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</si>
  <si>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</si>
  <si>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</si>
  <si>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</si>
  <si>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</si>
  <si>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</si>
  <si>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</si>
  <si>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</si>
  <si>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</si>
  <si>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</si>
  <si>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</si>
  <si>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</si>
  <si>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</si>
  <si>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</si>
  <si>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</si>
  <si>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</si>
  <si>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</si>
  <si>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</si>
  <si>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</si>
  <si>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</si>
  <si>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</si>
  <si>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</si>
  <si>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</si>
  <si>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</si>
  <si>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</si>
  <si>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</si>
  <si>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</si>
  <si>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</si>
  <si>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</si>
  <si>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</si>
  <si>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</si>
  <si>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</si>
  <si>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</si>
  <si>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</si>
  <si>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</si>
  <si>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</si>
  <si>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</si>
  <si>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</si>
  <si>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</si>
  <si>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</si>
  <si>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</si>
  <si>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</si>
  <si>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</si>
  <si>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</si>
  <si>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</si>
  <si>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</si>
  <si>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</si>
  <si>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</si>
  <si>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</si>
  <si>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</si>
  <si>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</si>
  <si>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</si>
  <si>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</si>
  <si>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</si>
  <si>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</si>
  <si>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</si>
  <si>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</si>
  <si>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</si>
  <si>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</si>
  <si>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</si>
  <si>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</si>
  <si>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</si>
  <si>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</si>
  <si>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</si>
  <si>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</si>
  <si>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</si>
  <si>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</si>
  <si>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</si>
  <si>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</si>
  <si>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</si>
  <si>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</si>
  <si>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</si>
  <si>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</si>
  <si>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</si>
  <si>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</si>
  <si>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</si>
  <si>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</si>
  <si>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</si>
  <si>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</si>
  <si>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</si>
  <si>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</si>
  <si>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</si>
  <si>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</si>
  <si>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</si>
  <si>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</si>
  <si>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</si>
  <si>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</si>
  <si>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</si>
  <si>
    <t>FTE</t>
  </si>
  <si>
    <t>Total FTE</t>
  </si>
  <si>
    <t>Actual</t>
  </si>
  <si>
    <t>Mgmt</t>
  </si>
  <si>
    <t>Logged</t>
  </si>
  <si>
    <t>Q1 Plan</t>
  </si>
  <si>
    <t>Plan-PS</t>
  </si>
  <si>
    <t>Plan-PD</t>
  </si>
  <si>
    <t>Actual-PS</t>
  </si>
  <si>
    <t>Actual-PD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</si>
</sst>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0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2"/>
      <color theme="10"/>
      <name val="Aptos Narrow"/>
      <family val="2"/>
      <scheme val="minor"/>
    </font>
    <font>
      <sz val="12"/>
      <color theme="6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83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3" fontId="22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1" fillId="21" borderId="0" xfId="0" applyFont="1" applyFill="1"/>
    <xf numFmtId="0" fontId="22" fillId="26" borderId="0" xfId="0" applyFont="1" applyFill="1"/>
    <xf numFmtId="0" fontId="22" fillId="25" borderId="0" xfId="0" applyFont="1" applyFill="1"/>
    <xf numFmtId="0" fontId="23" fillId="0" borderId="0" xfId="1" applyFill="1"/>
    <xf numFmtId="0" fontId="24" fillId="0" borderId="0" xfId="0" applyFont="1"/>
    <xf numFmtId="2" fontId="24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selection activeCell="B24" sqref="B24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131</v>
      </c>
      <c r="C22" s="70">
        <v>11</v>
      </c>
      <c r="D22" s="70">
        <v>11</v>
      </c>
      <c r="E22" s="70">
        <v>11</v>
      </c>
      <c r="F22" s="70">
        <v>11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132</v>
      </c>
      <c r="C23" s="71">
        <v>117.04</v>
      </c>
      <c r="D23" s="71">
        <v>125.05</v>
      </c>
      <c r="E23" s="70">
        <v>126.04</v>
      </c>
      <c r="F23" s="70">
        <v>126.8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104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0.29909999999999998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0.70089999999999997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topLeftCell="A140" workbookViewId="0">
      <selection activeCell="F166" sqref="F16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96.179999999999993</v>
      </c>
      <c r="D156">
        <f>ALL!E36*100</f>
        <v>94.28</v>
      </c>
      <c r="E156">
        <f>ALL!F36*100</f>
        <v>87.570000000000007</v>
      </c>
      <c r="F156">
        <f>ALL!G36*100</f>
        <v>70.09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6</v>
      </c>
      <c r="D157">
        <f>ALL!E37</f>
        <v>9</v>
      </c>
      <c r="E157">
        <f>ALL!F37</f>
        <v>19</v>
      </c>
      <c r="F157">
        <f>ALL!G37</f>
        <v>28</v>
      </c>
    </row>
    <row r="161" spans="1:16" x14ac:dyDescent="0.2">
      <c r="B161" t="str">
        <f>ALL!C1</f>
        <v>JAN</v>
      </c>
      <c r="C161" t="str">
        <f>ALL!D1</f>
        <v>FEB</v>
      </c>
      <c r="D161" t="str">
        <f>ALL!E1</f>
        <v>MAR</v>
      </c>
      <c r="E161" t="str">
        <f>ALL!F1</f>
        <v>APR</v>
      </c>
      <c r="F161" t="str">
        <f>ALL!G1</f>
        <v>MAY</v>
      </c>
      <c r="G161" t="str">
        <f>ALL!H1</f>
        <v>JUN</v>
      </c>
      <c r="H161" t="str">
        <f>ALL!I1</f>
        <v>JUL</v>
      </c>
      <c r="I161" t="str">
        <f>ALL!J1</f>
        <v>AUG</v>
      </c>
      <c r="J161" t="str">
        <f>ALL!K1</f>
        <v>SEP</v>
      </c>
      <c r="K161" t="str">
        <f>ALL!L1</f>
        <v>OCT</v>
      </c>
      <c r="L161" t="str">
        <f>ALL!M1</f>
        <v>NOV</v>
      </c>
      <c r="M161" t="str">
        <f>ALL!N1</f>
        <v>DEC</v>
      </c>
      <c r="N161" t="str">
        <f>ALL!O1</f>
        <v>JAN'27</v>
      </c>
      <c r="O161" t="str">
        <f>ALL!P1</f>
        <v>FEB'27</v>
      </c>
      <c r="P161" t="str">
        <f>ALL!Q1</f>
        <v>MAR'27</v>
      </c>
    </row>
    <row r="162" spans="1:16" x14ac:dyDescent="0.2">
      <c r="A162" t="str">
        <f>A2</f>
        <v>Staff</v>
      </c>
      <c r="B162">
        <f t="shared" ref="B162:P162" si="0">B2</f>
        <v>148</v>
      </c>
      <c r="C162">
        <f t="shared" si="0"/>
        <v>149</v>
      </c>
      <c r="D162">
        <f t="shared" si="0"/>
        <v>149</v>
      </c>
      <c r="E162">
        <f t="shared" si="0"/>
        <v>151</v>
      </c>
      <c r="F162">
        <f t="shared" si="0"/>
        <v>150</v>
      </c>
      <c r="G162">
        <f t="shared" si="0"/>
        <v>150</v>
      </c>
      <c r="H162">
        <f t="shared" si="0"/>
        <v>149</v>
      </c>
      <c r="I162">
        <f t="shared" si="0"/>
        <v>149</v>
      </c>
      <c r="J162">
        <f t="shared" si="0"/>
        <v>149</v>
      </c>
      <c r="K162">
        <f t="shared" si="0"/>
        <v>149</v>
      </c>
      <c r="L162">
        <f t="shared" si="0"/>
        <v>149</v>
      </c>
      <c r="M162">
        <f t="shared" si="0"/>
        <v>149</v>
      </c>
      <c r="N162">
        <f t="shared" si="0"/>
        <v>149</v>
      </c>
      <c r="O162">
        <f t="shared" si="0"/>
        <v>149</v>
      </c>
      <c r="P162">
        <f t="shared" si="0"/>
        <v>149</v>
      </c>
    </row>
    <row r="163" spans="1:16" x14ac:dyDescent="0.2">
      <c r="A163" t="str">
        <f>A4</f>
        <v>Plan</v>
      </c>
      <c r="E163">
        <f t="shared" ref="E163:P163" si="1">E4</f>
        <v>143</v>
      </c>
      <c r="F163">
        <f t="shared" si="1"/>
        <v>147</v>
      </c>
      <c r="G163">
        <f t="shared" si="1"/>
        <v>144</v>
      </c>
      <c r="H163">
        <f t="shared" si="1"/>
        <v>143</v>
      </c>
      <c r="I163">
        <f t="shared" si="1"/>
        <v>140</v>
      </c>
      <c r="J163">
        <f t="shared" si="1"/>
        <v>139</v>
      </c>
      <c r="K163">
        <f t="shared" si="1"/>
        <v>132</v>
      </c>
      <c r="L163">
        <f t="shared" si="1"/>
        <v>130</v>
      </c>
      <c r="M163">
        <f t="shared" si="1"/>
        <v>130</v>
      </c>
      <c r="N163">
        <f t="shared" si="1"/>
        <v>105</v>
      </c>
      <c r="O163">
        <f t="shared" si="1"/>
        <v>104</v>
      </c>
      <c r="P163">
        <f t="shared" si="1"/>
        <v>104</v>
      </c>
    </row>
    <row r="164" spans="1:16" x14ac:dyDescent="0.2">
      <c r="A164" t="s">
        <v>130</v>
      </c>
      <c r="B164">
        <f>SUM(ALL!C22:C23)</f>
        <v>128.04000000000002</v>
      </c>
      <c r="C164">
        <f>SUM(ALL!D22:D23)</f>
        <v>136.05000000000001</v>
      </c>
      <c r="D164">
        <f>SUM(ALL!E22:E23)</f>
        <v>137.04000000000002</v>
      </c>
      <c r="E164">
        <f>SUM(ALL!F22:F23)</f>
        <v>137.80000000000001</v>
      </c>
    </row>
    <row r="165" spans="1:16" x14ac:dyDescent="0.2">
      <c r="A165" t="s">
        <v>133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10" activePane="bottomLeft" state="frozen"/>
      <selection pane="bottomLeft" activeCell="C12" sqref="B12:C12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14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14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12" workbookViewId="0">
      <selection activeCell="J48" sqref="J4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4.0900000000000034</v>
      </c>
      <c r="H64" s="67">
        <f t="shared" si="2"/>
        <v>2.8900000000000006</v>
      </c>
      <c r="I64" s="67">
        <f t="shared" si="2"/>
        <v>3.4399999999999977</v>
      </c>
      <c r="J64" s="67">
        <f t="shared" si="2"/>
        <v>2.9399999999999977</v>
      </c>
      <c r="K64" s="67">
        <f t="shared" si="2"/>
        <v>6.3100000000000023</v>
      </c>
      <c r="L64" s="67">
        <f t="shared" si="2"/>
        <v>7</v>
      </c>
      <c r="M64" s="67">
        <f t="shared" si="2"/>
        <v>7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93.593495934959364</v>
      </c>
      <c r="D66" s="59">
        <f>(AVERAGE(H63:J63)/AVERAGE(H62:J62))*100</f>
        <v>92.463414634146346</v>
      </c>
      <c r="E66" s="59">
        <f>(AVERAGE(K63:M63)/AVERAGE(K62:M62))*100</f>
        <v>83.487804878048777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29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0.3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0.7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1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-2.5000000000000355E-2</v>
      </c>
      <c r="G54" s="67">
        <f t="shared" si="0"/>
        <v>-2.5000000000000355E-2</v>
      </c>
      <c r="H54" s="67">
        <f t="shared" si="0"/>
        <v>1.8749999999999822E-2</v>
      </c>
      <c r="I54" s="67">
        <f t="shared" si="0"/>
        <v>0.70624999999999982</v>
      </c>
      <c r="J54" s="67">
        <f t="shared" si="0"/>
        <v>1.0687500000000001</v>
      </c>
      <c r="K54" s="67">
        <f t="shared" si="0"/>
        <v>1.2875000000000001</v>
      </c>
      <c r="L54" s="67">
        <f t="shared" si="0"/>
        <v>1.4125000000000001</v>
      </c>
      <c r="M54" s="67">
        <f t="shared" si="0"/>
        <v>1.6124999999999998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94.583333333333343</v>
      </c>
      <c r="D56" s="59">
        <f>(AVERAGE(H53:J53)/AVERAGE(H52:J52))*100</f>
        <v>85.052083333333343</v>
      </c>
      <c r="E56" s="59">
        <f>(AVERAGE(K53:M53)/AVERAGE(K52:M52))*100</f>
        <v>64.0625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0.10000000000000009</v>
      </c>
      <c r="F74" s="67">
        <f t="shared" si="4"/>
        <v>0.48499999999999988</v>
      </c>
      <c r="G74" s="67">
        <f t="shared" si="4"/>
        <v>0.53500000000000014</v>
      </c>
      <c r="H74" s="67">
        <f t="shared" si="4"/>
        <v>0.63499999999999979</v>
      </c>
      <c r="I74" s="67">
        <f t="shared" si="4"/>
        <v>0.56000000000000005</v>
      </c>
      <c r="J74" s="67">
        <f t="shared" si="4"/>
        <v>0.87999999999999989</v>
      </c>
      <c r="K74" s="67">
        <f t="shared" si="4"/>
        <v>0.87999999999999989</v>
      </c>
      <c r="L74" s="67">
        <f t="shared" si="4"/>
        <v>0.87999999999999989</v>
      </c>
      <c r="M74" s="67">
        <f t="shared" si="4"/>
        <v>0.95500000000000007</v>
      </c>
      <c r="N74" s="67">
        <f t="shared" si="4"/>
        <v>1.2200000000000002</v>
      </c>
      <c r="O74" s="67">
        <f t="shared" si="4"/>
        <v>1.2200000000000002</v>
      </c>
      <c r="P74" s="67">
        <f t="shared" si="4"/>
        <v>1.2200000000000002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90.666666666666657</v>
      </c>
      <c r="D76" s="59">
        <f>(AVERAGE(H73:J73)/AVERAGE(H72:J72))*100</f>
        <v>82.708333333333343</v>
      </c>
      <c r="E76" s="59">
        <f>(AVERAGE(K73:M73)/AVERAGE(K72:M72))*100</f>
        <v>77.375</v>
      </c>
      <c r="F76" s="59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-1.3849999999999998</v>
      </c>
      <c r="C84" s="67">
        <f t="shared" ref="C84:P84" si="6">C82-C83</f>
        <v>-1.0750000000000002</v>
      </c>
      <c r="D84" s="67">
        <f t="shared" si="6"/>
        <v>-2.2199999999999998</v>
      </c>
      <c r="E84" s="67">
        <f t="shared" si="6"/>
        <v>-0.6549999999999998</v>
      </c>
      <c r="F84" s="67">
        <f t="shared" si="6"/>
        <v>-0.68500000000000005</v>
      </c>
      <c r="G84" s="67">
        <f t="shared" si="6"/>
        <v>-0.46499999999999986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178</v>
      </c>
      <c r="C86" s="59">
        <f>(AVERAGE(E83:G83)/AVERAGE(E82:G82))*100</f>
        <v>130.08333333333331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-0.27499999999999991</v>
      </c>
      <c r="C94" s="67">
        <f t="shared" ref="C94:P94" si="8">C92-C93</f>
        <v>-0.27499999999999991</v>
      </c>
      <c r="D94" s="67">
        <f t="shared" si="8"/>
        <v>-0.22500000000000009</v>
      </c>
      <c r="E94" s="67">
        <f t="shared" si="8"/>
        <v>0.125</v>
      </c>
      <c r="F94" s="67">
        <f t="shared" si="8"/>
        <v>-0.11249999999999982</v>
      </c>
      <c r="G94" s="67">
        <f t="shared" si="8"/>
        <v>0.13750000000000018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108.6111111111111</v>
      </c>
      <c r="C96" s="59">
        <f>(AVERAGE(E93:G93)/AVERAGE(E92:G92))*100</f>
        <v>98.333333333333329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-0.16000000000000014</v>
      </c>
      <c r="G104" s="67">
        <f t="shared" si="10"/>
        <v>-5.9999999999999609E-2</v>
      </c>
      <c r="H104" s="67">
        <f t="shared" si="10"/>
        <v>-0.27500000000000036</v>
      </c>
      <c r="I104" s="67">
        <f t="shared" si="10"/>
        <v>-0.15200000000000014</v>
      </c>
      <c r="J104" s="67">
        <f t="shared" si="10"/>
        <v>7.2999999999999954E-2</v>
      </c>
      <c r="K104" s="67">
        <f t="shared" si="10"/>
        <v>0.27300000000000013</v>
      </c>
      <c r="L104" s="67">
        <f t="shared" si="10"/>
        <v>0.51500000000000012</v>
      </c>
      <c r="M104" s="67">
        <f t="shared" si="10"/>
        <v>1.29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100.58333333333334</v>
      </c>
      <c r="D106" s="59">
        <f>(AVERAGE(H103:J103)/AVERAGE(H102:J102))*100</f>
        <v>102.94999999999999</v>
      </c>
      <c r="E106" s="59">
        <f>(AVERAGE(K103:M103)/AVERAGE(K102:M102))*100</f>
        <v>82.683333333333337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-0.28000000000000025</v>
      </c>
      <c r="F114" s="67">
        <f t="shared" si="12"/>
        <v>-0.99000000000000021</v>
      </c>
      <c r="G114" s="67">
        <f t="shared" si="12"/>
        <v>-0.49000000000000021</v>
      </c>
      <c r="H114" s="67">
        <f t="shared" si="12"/>
        <v>-0.15000000000000036</v>
      </c>
      <c r="I114" s="67">
        <f t="shared" si="12"/>
        <v>0.29999999999999982</v>
      </c>
      <c r="J114" s="67">
        <f t="shared" si="12"/>
        <v>0.5</v>
      </c>
      <c r="K114" s="67">
        <f t="shared" si="12"/>
        <v>0.5</v>
      </c>
      <c r="L114" s="67">
        <f t="shared" si="12"/>
        <v>0.5</v>
      </c>
      <c r="M114" s="67">
        <f t="shared" si="12"/>
        <v>0.5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111.73333333333333</v>
      </c>
      <c r="D116" s="59">
        <f>(AVERAGE(H113:J113)/AVERAGE(H112:J112))*100</f>
        <v>95.666666666666671</v>
      </c>
      <c r="E116" s="59">
        <f>(AVERAGE(K113:M113)/AVERAGE(K112:M112))*100</f>
        <v>90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98.850000000000009</v>
      </c>
      <c r="D156">
        <f>SD!E36*100</f>
        <v>100.98</v>
      </c>
      <c r="E156">
        <f>SD!F36*100</f>
        <v>91.24</v>
      </c>
      <c r="F156">
        <f>SD!G36*100</f>
        <v>70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24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20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0.55869999999999997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0.44130000000000003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-0.10499999999999998</v>
      </c>
      <c r="G84" s="67">
        <f t="shared" si="6"/>
        <v>-0.125</v>
      </c>
      <c r="H84" s="67">
        <f t="shared" si="6"/>
        <v>-0.125</v>
      </c>
      <c r="I84" s="67">
        <f t="shared" si="6"/>
        <v>-0.125</v>
      </c>
      <c r="J84" s="67">
        <f t="shared" si="6"/>
        <v>0.42499999999999982</v>
      </c>
      <c r="K84" s="67">
        <f t="shared" si="6"/>
        <v>0.125</v>
      </c>
      <c r="L84" s="67">
        <f t="shared" si="6"/>
        <v>7.5000000000000178E-2</v>
      </c>
      <c r="M84" s="67">
        <f t="shared" si="6"/>
        <v>0.375</v>
      </c>
      <c r="N84" s="67">
        <f t="shared" si="6"/>
        <v>2.6</v>
      </c>
      <c r="O84" s="67">
        <f t="shared" si="6"/>
        <v>2.6</v>
      </c>
      <c r="P84" s="67">
        <f t="shared" si="6"/>
        <v>2.6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98.3</v>
      </c>
      <c r="D86" s="59">
        <f>(AVERAGE(H83:J83)/AVERAGE(H82:J82))*100</f>
        <v>98.055555555555557</v>
      </c>
      <c r="E86" s="59">
        <f>(AVERAGE(K83:M83)/AVERAGE(K82:M82))*100</f>
        <v>93.611111111111128</v>
      </c>
      <c r="F86" s="59">
        <f>(AVERAGE(N83:P83)/AVERAGE(N82:P82))*100</f>
        <v>13.333333333333336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90.03</v>
      </c>
      <c r="D156">
        <f>AIC!E36*100</f>
        <v>79.239999999999995</v>
      </c>
      <c r="E156">
        <f>AIC!F36*100</f>
        <v>71.150000000000006</v>
      </c>
      <c r="F156">
        <f>AIC!G36*100</f>
        <v>44.13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2</v>
      </c>
      <c r="D157">
        <f>AIC!E37</f>
        <v>4</v>
      </c>
      <c r="E157">
        <f>AIC!F37</f>
        <v>5</v>
      </c>
      <c r="F157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21" workbookViewId="0">
      <selection activeCell="H38" sqref="H3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E88" sqref="E88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57"/>
  <sheetViews>
    <sheetView workbookViewId="0">
      <pane ySplit="1" topLeftCell="A52" activePane="bottomLeft" state="frozen"/>
      <selection pane="bottomLeft" activeCell="E48" sqref="E48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2.46</v>
      </c>
      <c r="C2" s="8">
        <v>2.4649999999999999</v>
      </c>
      <c r="D2" s="8">
        <v>2.4649999999999999</v>
      </c>
      <c r="E2" s="8">
        <v>1.95</v>
      </c>
      <c r="F2" s="8">
        <v>2.2999999999999998</v>
      </c>
      <c r="G2" s="8">
        <v>3.2</v>
      </c>
      <c r="H2" s="8">
        <v>2.9</v>
      </c>
      <c r="I2" s="8">
        <v>2.7749999999999999</v>
      </c>
      <c r="J2" s="8">
        <v>2.7749999999999999</v>
      </c>
      <c r="K2" s="8">
        <v>2.6124999999999998</v>
      </c>
      <c r="L2" s="8">
        <v>2.6124999999999998</v>
      </c>
      <c r="M2" s="8">
        <v>2.6124999999999998</v>
      </c>
      <c r="N2" s="8">
        <v>0.80249999999999999</v>
      </c>
      <c r="O2" s="8">
        <v>0.80249999999999999</v>
      </c>
      <c r="P2" s="8">
        <v>0.80249999999999999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3.37</v>
      </c>
      <c r="C3" s="8">
        <v>2.77</v>
      </c>
      <c r="D3" s="8">
        <v>2.59</v>
      </c>
      <c r="E3" s="8">
        <v>2.08</v>
      </c>
      <c r="F3" s="8">
        <v>2.13</v>
      </c>
      <c r="G3" s="8">
        <v>1.75</v>
      </c>
      <c r="H3" s="8">
        <v>2</v>
      </c>
      <c r="I3" s="8">
        <v>2</v>
      </c>
      <c r="J3" s="8">
        <v>2</v>
      </c>
      <c r="K3" s="8">
        <v>2</v>
      </c>
      <c r="L3" s="8">
        <v>2</v>
      </c>
      <c r="M3" s="8">
        <v>2</v>
      </c>
      <c r="N3" s="8">
        <v>1.55</v>
      </c>
      <c r="O3" s="8">
        <v>1.55</v>
      </c>
      <c r="P3" s="8">
        <v>1.55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1.75</v>
      </c>
      <c r="C4" s="8">
        <v>1.1000000000000001</v>
      </c>
      <c r="D4" s="8">
        <v>1.2749999999999999</v>
      </c>
      <c r="E4" s="8">
        <v>0.95</v>
      </c>
      <c r="F4" s="8">
        <v>0.8</v>
      </c>
      <c r="G4" s="8">
        <v>0.6</v>
      </c>
      <c r="H4" s="8">
        <v>0.5</v>
      </c>
      <c r="I4" s="8">
        <v>0.5</v>
      </c>
      <c r="J4" s="8">
        <v>0.5</v>
      </c>
      <c r="K4" s="8">
        <v>0.5</v>
      </c>
      <c r="L4" s="8">
        <v>0.5</v>
      </c>
      <c r="M4" s="8">
        <v>0.5</v>
      </c>
      <c r="N4" s="8">
        <v>0.5</v>
      </c>
      <c r="O4" s="8">
        <v>0.5</v>
      </c>
      <c r="P4" s="8">
        <v>0.5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2.7250000000000001</v>
      </c>
      <c r="F5" s="8">
        <v>2.875</v>
      </c>
      <c r="G5" s="8">
        <v>3.46</v>
      </c>
      <c r="H5" s="8">
        <v>2.6850000000000001</v>
      </c>
      <c r="I5" s="8">
        <v>2.9849999999999999</v>
      </c>
      <c r="J5" s="8">
        <v>2.9849999999999999</v>
      </c>
      <c r="K5" s="8">
        <v>2.9224999999999999</v>
      </c>
      <c r="L5" s="8">
        <v>2.9224999999999999</v>
      </c>
      <c r="M5" s="8">
        <v>2.9224999999999999</v>
      </c>
      <c r="N5" s="8">
        <v>2.81</v>
      </c>
      <c r="O5" s="8">
        <v>2.81</v>
      </c>
      <c r="P5" s="8">
        <v>2.81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3.25</v>
      </c>
      <c r="C6" s="8">
        <v>3.625</v>
      </c>
      <c r="D6" s="8">
        <v>3.67</v>
      </c>
      <c r="E6" s="8">
        <v>3.4824999999999999</v>
      </c>
      <c r="F6" s="8">
        <v>2.9824999999999999</v>
      </c>
      <c r="G6" s="8">
        <v>2.9874999999999998</v>
      </c>
      <c r="H6" s="8">
        <v>2.3125</v>
      </c>
      <c r="I6" s="8">
        <v>2.2124999999999999</v>
      </c>
      <c r="J6" s="8">
        <v>3.1124999999999998</v>
      </c>
      <c r="K6" s="8">
        <v>3.1124999999999998</v>
      </c>
      <c r="L6" s="8">
        <v>3.1124999999999998</v>
      </c>
      <c r="M6" s="8">
        <v>3.1124999999999998</v>
      </c>
      <c r="N6" s="8">
        <v>3.05</v>
      </c>
      <c r="O6" s="8">
        <v>3.05</v>
      </c>
      <c r="P6" s="8">
        <v>3.05</v>
      </c>
      <c r="Q6" s="8"/>
      <c r="R6" s="8"/>
      <c r="S6" s="56"/>
      <c r="T6" s="8"/>
      <c r="U6" s="8"/>
      <c r="V6" s="56"/>
    </row>
    <row r="7" spans="1:2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128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  <row r="30" spans="1:17" x14ac:dyDescent="0.2">
      <c r="B30" s="55" t="s">
        <v>1</v>
      </c>
      <c r="C30" s="55" t="s">
        <v>2</v>
      </c>
      <c r="D30" s="55" t="s">
        <v>3</v>
      </c>
      <c r="E30" s="55" t="s">
        <v>4</v>
      </c>
      <c r="F30" s="55" t="s">
        <v>5</v>
      </c>
      <c r="G30" s="55" t="s">
        <v>6</v>
      </c>
      <c r="H30" s="55" t="s">
        <v>7</v>
      </c>
      <c r="I30" s="55" t="s">
        <v>8</v>
      </c>
      <c r="J30" s="55" t="s">
        <v>9</v>
      </c>
      <c r="K30" s="55" t="s">
        <v>10</v>
      </c>
      <c r="L30" s="55" t="s">
        <v>11</v>
      </c>
      <c r="M30" s="55" t="s">
        <v>12</v>
      </c>
      <c r="N30" s="17"/>
      <c r="O30" s="17"/>
      <c r="P30" s="17"/>
    </row>
    <row r="31" spans="1:17" s="73" customFormat="1" ht="15" x14ac:dyDescent="0.2">
      <c r="A31" s="79" t="s">
        <v>18</v>
      </c>
      <c r="B31" s="74">
        <f t="shared" ref="B31:M31" si="0">SUM(B32,B33)</f>
        <v>2717433</v>
      </c>
      <c r="C31" s="74">
        <f t="shared" si="0"/>
        <v>6209433</v>
      </c>
      <c r="D31" s="74">
        <f t="shared" si="0"/>
        <v>13563433</v>
      </c>
      <c r="E31" s="74">
        <f t="shared" si="0"/>
        <v>7233433</v>
      </c>
      <c r="F31" s="74">
        <f t="shared" si="0"/>
        <v>7406433</v>
      </c>
      <c r="G31" s="74">
        <f t="shared" si="0"/>
        <v>19319433</v>
      </c>
      <c r="H31" s="74">
        <f t="shared" si="0"/>
        <v>13479433</v>
      </c>
      <c r="I31" s="74">
        <f t="shared" si="0"/>
        <v>10679433</v>
      </c>
      <c r="J31" s="74">
        <f t="shared" si="0"/>
        <v>18089433</v>
      </c>
      <c r="K31" s="74">
        <f t="shared" si="0"/>
        <v>16179433</v>
      </c>
      <c r="L31" s="74">
        <f t="shared" si="0"/>
        <v>14539433</v>
      </c>
      <c r="M31" s="74">
        <f t="shared" si="0"/>
        <v>19853233</v>
      </c>
    </row>
    <row r="32" spans="1:17" s="72" customFormat="1" ht="15" x14ac:dyDescent="0.2">
      <c r="A32" s="76" t="s">
        <v>134</v>
      </c>
      <c r="B32" s="75">
        <v>1787433</v>
      </c>
      <c r="C32" s="75">
        <v>4779433</v>
      </c>
      <c r="D32" s="75">
        <v>7833433</v>
      </c>
      <c r="E32" s="75">
        <v>5233433</v>
      </c>
      <c r="F32" s="75">
        <v>4206433</v>
      </c>
      <c r="G32" s="75">
        <v>14379433</v>
      </c>
      <c r="H32" s="75">
        <v>9279433</v>
      </c>
      <c r="I32" s="75">
        <v>6279433</v>
      </c>
      <c r="J32" s="75">
        <v>10379433</v>
      </c>
      <c r="K32" s="75">
        <v>11279433</v>
      </c>
      <c r="L32" s="75">
        <v>4379433</v>
      </c>
      <c r="M32" s="75">
        <v>10453233</v>
      </c>
    </row>
    <row r="33" spans="1:13" s="72" customFormat="1" ht="15" x14ac:dyDescent="0.2">
      <c r="A33" s="76" t="s">
        <v>135</v>
      </c>
      <c r="B33" s="75">
        <v>930000</v>
      </c>
      <c r="C33" s="75">
        <v>1430000</v>
      </c>
      <c r="D33" s="75">
        <v>5730000</v>
      </c>
      <c r="E33" s="75">
        <v>2000000</v>
      </c>
      <c r="F33" s="75">
        <v>3200000</v>
      </c>
      <c r="G33" s="75">
        <v>4940000</v>
      </c>
      <c r="H33" s="75">
        <v>4200000</v>
      </c>
      <c r="I33" s="75">
        <v>4400000</v>
      </c>
      <c r="J33" s="75">
        <v>7710000</v>
      </c>
      <c r="K33" s="75">
        <v>4900000</v>
      </c>
      <c r="L33" s="75">
        <v>10160000</v>
      </c>
      <c r="M33" s="75">
        <v>9400000</v>
      </c>
    </row>
    <row r="34" spans="1:13" s="73" customFormat="1" ht="15" x14ac:dyDescent="0.2">
      <c r="A34" s="78" t="s">
        <v>130</v>
      </c>
      <c r="B34" s="74">
        <f>SUM(B35,B36)</f>
        <v>1049908</v>
      </c>
      <c r="C34" s="74">
        <f t="shared" ref="C34:E34" si="1">SUM(C35,C36)</f>
        <v>6155989</v>
      </c>
      <c r="D34" s="74">
        <f t="shared" si="1"/>
        <v>9094371</v>
      </c>
      <c r="E34" s="74">
        <f t="shared" si="1"/>
        <v>6308025</v>
      </c>
    </row>
    <row r="35" spans="1:13" s="72" customFormat="1" ht="15" x14ac:dyDescent="0.2">
      <c r="A35" s="77" t="s">
        <v>136</v>
      </c>
      <c r="B35" s="75">
        <v>1002658</v>
      </c>
      <c r="C35" s="75">
        <v>5710093</v>
      </c>
      <c r="D35" s="75">
        <v>8544505</v>
      </c>
      <c r="E35" s="75">
        <v>4855248</v>
      </c>
    </row>
    <row r="36" spans="1:13" s="72" customFormat="1" ht="15" x14ac:dyDescent="0.2">
      <c r="A36" s="77" t="s">
        <v>137</v>
      </c>
      <c r="B36" s="75">
        <v>47250</v>
      </c>
      <c r="C36" s="75">
        <v>445896</v>
      </c>
      <c r="D36" s="75">
        <v>549866</v>
      </c>
      <c r="E36" s="75">
        <v>1452777</v>
      </c>
    </row>
    <row r="40" spans="1:13" s="81" customFormat="1" x14ac:dyDescent="0.2">
      <c r="B40" s="81" t="str">
        <f>B30</f>
        <v>JAN</v>
      </c>
      <c r="C40" s="81" t="str">
        <f t="shared" ref="C40:M40" si="2">C30</f>
        <v>FEB</v>
      </c>
      <c r="D40" s="81" t="str">
        <f t="shared" si="2"/>
        <v>MAR</v>
      </c>
      <c r="E40" s="81" t="str">
        <f t="shared" si="2"/>
        <v>APR</v>
      </c>
      <c r="F40" s="81" t="str">
        <f t="shared" si="2"/>
        <v>MAY</v>
      </c>
      <c r="G40" s="81" t="str">
        <f t="shared" si="2"/>
        <v>JUN</v>
      </c>
      <c r="H40" s="81" t="str">
        <f t="shared" si="2"/>
        <v>JUL</v>
      </c>
      <c r="I40" s="81" t="str">
        <f t="shared" si="2"/>
        <v>AUG</v>
      </c>
      <c r="J40" s="81" t="str">
        <f t="shared" si="2"/>
        <v>SEP</v>
      </c>
      <c r="K40" s="81" t="str">
        <f t="shared" si="2"/>
        <v>OCT</v>
      </c>
      <c r="L40" s="81" t="str">
        <f t="shared" si="2"/>
        <v>NOV</v>
      </c>
      <c r="M40" s="81" t="str">
        <f t="shared" si="2"/>
        <v>DEC</v>
      </c>
    </row>
    <row r="41" spans="1:13" s="81" customFormat="1" x14ac:dyDescent="0.2">
      <c r="A41" s="81" t="str">
        <f>A31</f>
        <v>Plan</v>
      </c>
      <c r="B41" s="82">
        <f>B31/1000000</f>
        <v>2.7174330000000002</v>
      </c>
      <c r="C41" s="82">
        <f t="shared" ref="C41:M41" si="3">C31/1000000</f>
        <v>6.2094329999999998</v>
      </c>
      <c r="D41" s="82">
        <f t="shared" si="3"/>
        <v>13.563433</v>
      </c>
      <c r="E41" s="82">
        <f t="shared" si="3"/>
        <v>7.2334329999999998</v>
      </c>
      <c r="F41" s="82">
        <f t="shared" si="3"/>
        <v>7.4064329999999998</v>
      </c>
      <c r="G41" s="82">
        <f t="shared" si="3"/>
        <v>19.319433</v>
      </c>
      <c r="H41" s="82">
        <f t="shared" si="3"/>
        <v>13.479433</v>
      </c>
      <c r="I41" s="82">
        <f t="shared" si="3"/>
        <v>10.679433</v>
      </c>
      <c r="J41" s="82">
        <f t="shared" si="3"/>
        <v>18.089433</v>
      </c>
      <c r="K41" s="82">
        <f t="shared" si="3"/>
        <v>16.179433</v>
      </c>
      <c r="L41" s="82">
        <f t="shared" si="3"/>
        <v>14.539433000000001</v>
      </c>
      <c r="M41" s="82">
        <f t="shared" si="3"/>
        <v>19.853232999999999</v>
      </c>
    </row>
    <row r="42" spans="1:13" s="81" customFormat="1" x14ac:dyDescent="0.2">
      <c r="A42" s="81" t="str">
        <f>A34</f>
        <v>Actual</v>
      </c>
      <c r="B42" s="82">
        <f>B34/1000000</f>
        <v>1.0499080000000001</v>
      </c>
      <c r="C42" s="82">
        <f t="shared" ref="C42:E42" si="4">C34/1000000</f>
        <v>6.1559889999999999</v>
      </c>
      <c r="D42" s="82">
        <f t="shared" si="4"/>
        <v>9.0943710000000006</v>
      </c>
      <c r="E42" s="82">
        <f t="shared" si="4"/>
        <v>6.3080249999999998</v>
      </c>
      <c r="F42" s="82"/>
      <c r="G42" s="82"/>
      <c r="H42" s="82"/>
      <c r="I42" s="82"/>
      <c r="J42" s="82"/>
      <c r="K42" s="82"/>
      <c r="L42" s="82"/>
      <c r="M42" s="82"/>
    </row>
    <row r="43" spans="1:13" s="81" customFormat="1" x14ac:dyDescent="0.2">
      <c r="A43" s="81" t="str">
        <f>A32</f>
        <v>Plan-PS</v>
      </c>
      <c r="B43" s="82">
        <f>B32/1000000</f>
        <v>1.787433</v>
      </c>
      <c r="C43" s="82">
        <f t="shared" ref="C43:M43" si="5">C32/1000000</f>
        <v>4.779433</v>
      </c>
      <c r="D43" s="82">
        <f t="shared" si="5"/>
        <v>7.8334330000000003</v>
      </c>
      <c r="E43" s="82">
        <f t="shared" si="5"/>
        <v>5.2334329999999998</v>
      </c>
      <c r="F43" s="82">
        <f t="shared" si="5"/>
        <v>4.2064329999999996</v>
      </c>
      <c r="G43" s="82">
        <f t="shared" si="5"/>
        <v>14.379433000000001</v>
      </c>
      <c r="H43" s="82">
        <f t="shared" si="5"/>
        <v>9.2794329999999992</v>
      </c>
      <c r="I43" s="82">
        <f t="shared" si="5"/>
        <v>6.279433</v>
      </c>
      <c r="J43" s="82">
        <f t="shared" si="5"/>
        <v>10.379433000000001</v>
      </c>
      <c r="K43" s="82">
        <f t="shared" si="5"/>
        <v>11.279432999999999</v>
      </c>
      <c r="L43" s="82">
        <f t="shared" si="5"/>
        <v>4.3794329999999997</v>
      </c>
      <c r="M43" s="82">
        <f t="shared" si="5"/>
        <v>10.453233000000001</v>
      </c>
    </row>
    <row r="44" spans="1:13" s="81" customFormat="1" x14ac:dyDescent="0.2">
      <c r="A44" s="81" t="str">
        <f>A35</f>
        <v>Actual-PS</v>
      </c>
      <c r="B44" s="82">
        <f>B35/1000000</f>
        <v>1.002658</v>
      </c>
      <c r="C44" s="82">
        <f t="shared" ref="C44:E44" si="6">C35/1000000</f>
        <v>5.7100929999999996</v>
      </c>
      <c r="D44" s="82">
        <f t="shared" si="6"/>
        <v>8.5445049999999991</v>
      </c>
      <c r="E44" s="82">
        <f t="shared" si="6"/>
        <v>4.8552479999999996</v>
      </c>
      <c r="F44" s="82"/>
      <c r="G44" s="82"/>
      <c r="H44" s="82"/>
      <c r="I44" s="82"/>
      <c r="J44" s="82"/>
      <c r="K44" s="82"/>
      <c r="L44" s="82"/>
      <c r="M44" s="82"/>
    </row>
    <row r="45" spans="1:13" s="81" customFormat="1" x14ac:dyDescent="0.2">
      <c r="A45" s="81" t="str">
        <f>A33</f>
        <v>Plan-PD</v>
      </c>
      <c r="B45" s="82">
        <f>B33/1000000</f>
        <v>0.93</v>
      </c>
      <c r="C45" s="82">
        <f t="shared" ref="C45:M45" si="7">C33/1000000</f>
        <v>1.43</v>
      </c>
      <c r="D45" s="82">
        <f t="shared" si="7"/>
        <v>5.73</v>
      </c>
      <c r="E45" s="82">
        <f t="shared" si="7"/>
        <v>2</v>
      </c>
      <c r="F45" s="82">
        <f t="shared" si="7"/>
        <v>3.2</v>
      </c>
      <c r="G45" s="82">
        <f t="shared" si="7"/>
        <v>4.9400000000000004</v>
      </c>
      <c r="H45" s="82">
        <f t="shared" si="7"/>
        <v>4.2</v>
      </c>
      <c r="I45" s="82">
        <f t="shared" si="7"/>
        <v>4.4000000000000004</v>
      </c>
      <c r="J45" s="82">
        <f t="shared" si="7"/>
        <v>7.71</v>
      </c>
      <c r="K45" s="82">
        <f t="shared" si="7"/>
        <v>4.9000000000000004</v>
      </c>
      <c r="L45" s="82">
        <f t="shared" si="7"/>
        <v>10.16</v>
      </c>
      <c r="M45" s="82">
        <f t="shared" si="7"/>
        <v>9.4</v>
      </c>
    </row>
    <row r="46" spans="1:13" s="81" customFormat="1" x14ac:dyDescent="0.2">
      <c r="A46" s="81" t="str">
        <f>A36</f>
        <v>Actual-PD</v>
      </c>
      <c r="B46" s="82">
        <f>B36/1000000</f>
        <v>4.725E-2</v>
      </c>
      <c r="C46" s="82">
        <f t="shared" ref="C46:E46" si="8">C36/1000000</f>
        <v>0.44589600000000001</v>
      </c>
      <c r="D46" s="82">
        <f t="shared" si="8"/>
        <v>0.54986599999999997</v>
      </c>
      <c r="E46" s="82">
        <f t="shared" si="8"/>
        <v>1.452777</v>
      </c>
      <c r="F46" s="82"/>
      <c r="G46" s="82"/>
      <c r="H46" s="82"/>
      <c r="I46" s="82"/>
      <c r="J46" s="82"/>
      <c r="K46" s="82"/>
      <c r="L46" s="82"/>
      <c r="M46" s="82"/>
    </row>
    <row r="47" spans="1:13" s="81" customFormat="1" x14ac:dyDescent="0.2"/>
    <row r="48" spans="1:13" s="81" customFormat="1" x14ac:dyDescent="0.2"/>
    <row r="49" spans="1:13" s="81" customFormat="1" x14ac:dyDescent="0.2"/>
    <row r="50" spans="1:13" s="81" customFormat="1" x14ac:dyDescent="0.2"/>
    <row r="51" spans="1:13" s="81" customFormat="1" x14ac:dyDescent="0.2">
      <c r="B51" s="81" t="str">
        <f>B40</f>
        <v>JAN</v>
      </c>
      <c r="C51" s="81" t="str">
        <f>C40</f>
        <v>FEB</v>
      </c>
      <c r="D51" s="81" t="str">
        <f>D40</f>
        <v>MAR</v>
      </c>
      <c r="E51" s="81" t="str">
        <f>E40</f>
        <v>APR</v>
      </c>
      <c r="F51" s="81" t="str">
        <f>F40</f>
        <v>MAY</v>
      </c>
      <c r="G51" s="81" t="str">
        <f>G40</f>
        <v>JUN</v>
      </c>
      <c r="H51" s="81" t="str">
        <f>H40</f>
        <v>JUL</v>
      </c>
      <c r="I51" s="81" t="str">
        <f>I40</f>
        <v>AUG</v>
      </c>
      <c r="J51" s="81" t="str">
        <f>J40</f>
        <v>SEP</v>
      </c>
      <c r="K51" s="81" t="str">
        <f>K40</f>
        <v>OCT</v>
      </c>
      <c r="L51" s="81" t="str">
        <f>L40</f>
        <v>NOV</v>
      </c>
      <c r="M51" s="81" t="str">
        <f>M40</f>
        <v>DEC</v>
      </c>
    </row>
    <row r="52" spans="1:13" s="81" customFormat="1" x14ac:dyDescent="0.2">
      <c r="A52" s="81" t="str">
        <f>A41</f>
        <v>Plan</v>
      </c>
      <c r="B52" s="81">
        <v>2.72</v>
      </c>
      <c r="C52" s="81">
        <v>6.21</v>
      </c>
      <c r="D52" s="81">
        <v>13.56</v>
      </c>
      <c r="E52" s="81">
        <v>7.23</v>
      </c>
      <c r="F52" s="81">
        <v>7.41</v>
      </c>
      <c r="G52" s="81">
        <v>19.32</v>
      </c>
      <c r="H52" s="81">
        <v>13.48</v>
      </c>
      <c r="I52" s="81">
        <v>10.68</v>
      </c>
      <c r="J52" s="81">
        <v>18.09</v>
      </c>
      <c r="K52" s="81">
        <v>16.18</v>
      </c>
      <c r="L52" s="81">
        <v>14.54</v>
      </c>
      <c r="M52" s="81">
        <v>19.850000000000001</v>
      </c>
    </row>
    <row r="53" spans="1:13" s="81" customFormat="1" x14ac:dyDescent="0.2">
      <c r="A53" s="81" t="str">
        <f t="shared" ref="A53:A57" si="9">A42</f>
        <v>Actual</v>
      </c>
      <c r="B53" s="81">
        <v>1.05</v>
      </c>
      <c r="C53" s="81">
        <v>6.16</v>
      </c>
      <c r="D53" s="81">
        <v>9.09</v>
      </c>
      <c r="E53" s="81">
        <v>6.31</v>
      </c>
    </row>
    <row r="54" spans="1:13" s="81" customFormat="1" x14ac:dyDescent="0.2">
      <c r="A54" s="81" t="str">
        <f t="shared" si="9"/>
        <v>Plan-PS</v>
      </c>
      <c r="B54" s="81">
        <v>1.79</v>
      </c>
      <c r="C54" s="81">
        <v>4.78</v>
      </c>
      <c r="D54" s="81">
        <v>7.83</v>
      </c>
      <c r="E54" s="81">
        <v>5.23</v>
      </c>
      <c r="F54" s="81">
        <v>4.21</v>
      </c>
      <c r="G54" s="81">
        <v>14.38</v>
      </c>
      <c r="H54" s="81">
        <v>9.2799999999999994</v>
      </c>
      <c r="I54" s="81">
        <v>6.28</v>
      </c>
      <c r="J54" s="81">
        <v>10.38</v>
      </c>
      <c r="K54" s="81">
        <v>11.28</v>
      </c>
      <c r="L54" s="81">
        <v>4.38</v>
      </c>
      <c r="M54" s="81">
        <v>10.45</v>
      </c>
    </row>
    <row r="55" spans="1:13" s="81" customFormat="1" x14ac:dyDescent="0.2">
      <c r="A55" s="81" t="str">
        <f t="shared" si="9"/>
        <v>Actual-PS</v>
      </c>
      <c r="B55" s="81">
        <v>1</v>
      </c>
      <c r="C55" s="81">
        <v>5.71</v>
      </c>
      <c r="D55" s="81">
        <v>8.5399999999999991</v>
      </c>
      <c r="E55" s="81">
        <v>4.8600000000000003</v>
      </c>
    </row>
    <row r="56" spans="1:13" s="81" customFormat="1" x14ac:dyDescent="0.2">
      <c r="A56" s="81" t="str">
        <f t="shared" si="9"/>
        <v>Plan-PD</v>
      </c>
      <c r="B56" s="81">
        <v>0.93</v>
      </c>
      <c r="C56" s="81">
        <v>1.43</v>
      </c>
      <c r="D56" s="81">
        <v>5.73</v>
      </c>
      <c r="E56" s="81">
        <v>2</v>
      </c>
      <c r="F56" s="81">
        <v>3.2</v>
      </c>
      <c r="G56" s="81">
        <v>4.9400000000000004</v>
      </c>
      <c r="H56" s="81">
        <v>4.2</v>
      </c>
      <c r="I56" s="81">
        <v>4.4000000000000004</v>
      </c>
      <c r="J56" s="81">
        <v>7.71</v>
      </c>
      <c r="K56" s="81">
        <v>4.9000000000000004</v>
      </c>
      <c r="L56" s="81">
        <v>10.16</v>
      </c>
      <c r="M56" s="81">
        <v>9.4</v>
      </c>
    </row>
    <row r="57" spans="1:13" s="81" customFormat="1" x14ac:dyDescent="0.2">
      <c r="A57" s="81" t="str">
        <f t="shared" si="9"/>
        <v>Actual-PD</v>
      </c>
      <c r="B57" s="81">
        <v>0.05</v>
      </c>
      <c r="C57" s="81">
        <v>0.45</v>
      </c>
      <c r="D57" s="81">
        <v>0.55000000000000004</v>
      </c>
      <c r="E57" s="81">
        <v>1.45</v>
      </c>
      <c r="F57" s="82"/>
      <c r="L57" s="8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5"/>
  <sheetViews>
    <sheetView tabSelected="1" topLeftCell="A26" workbookViewId="0">
      <selection activeCell="R40" sqref="R40"/>
    </sheetView>
  </sheetViews>
  <sheetFormatPr baseColWidth="10" defaultRowHeight="16" x14ac:dyDescent="0.2"/>
  <cols>
    <col min="1" max="1" width="27.16406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2.46</v>
      </c>
      <c r="C2">
        <f>IF(Project!C2&gt;0,Project!C2,"")</f>
        <v>2.4649999999999999</v>
      </c>
      <c r="D2">
        <f>IF(Project!D2&gt;0,Project!D2,"")</f>
        <v>2.4649999999999999</v>
      </c>
      <c r="E2">
        <f>IF(Project!E2&gt;0,Project!E2,"")</f>
        <v>1.95</v>
      </c>
      <c r="F2">
        <f>IF(Project!F2&gt;0,Project!F2,"")</f>
        <v>2.2999999999999998</v>
      </c>
      <c r="G2">
        <f>IF(Project!G2&gt;0,Project!G2,"")</f>
        <v>3.2</v>
      </c>
      <c r="H2">
        <f>IF(Project!H2&gt;0,Project!H2,"")</f>
        <v>2.9</v>
      </c>
      <c r="I2">
        <f>IF(Project!I2&gt;0,Project!I2,"")</f>
        <v>2.7749999999999999</v>
      </c>
      <c r="J2">
        <f>IF(Project!J2&gt;0,Project!J2,"")</f>
        <v>2.7749999999999999</v>
      </c>
      <c r="K2">
        <f>IF(Project!K2&gt;0,Project!K2,"")</f>
        <v>2.6124999999999998</v>
      </c>
      <c r="L2">
        <f>IF(Project!L2&gt;0,Project!L2,"")</f>
        <v>2.6124999999999998</v>
      </c>
      <c r="M2">
        <f>IF(Project!M2&gt;0,Project!M2,"")</f>
        <v>2.6124999999999998</v>
      </c>
      <c r="N2">
        <f>IF(Project!N2&gt;0,Project!N2,"")</f>
        <v>0.80249999999999999</v>
      </c>
      <c r="O2">
        <f>IF(Project!O2&gt;0,Project!O2,"")</f>
        <v>0.80249999999999999</v>
      </c>
      <c r="P2">
        <f>IF(Project!P2&gt;0,Project!P2,"")</f>
        <v>0.80249999999999999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3.37</v>
      </c>
      <c r="C3">
        <f>IF(Project!C3&gt;0,Project!C3,"")</f>
        <v>2.77</v>
      </c>
      <c r="D3">
        <f>IF(Project!D3&gt;0,Project!D3,"")</f>
        <v>2.59</v>
      </c>
      <c r="E3">
        <f>IF(Project!E3&gt;0,Project!E3,"")</f>
        <v>2.08</v>
      </c>
      <c r="F3">
        <f>IF(Project!F3&gt;0,Project!F3,"")</f>
        <v>2.13</v>
      </c>
      <c r="G3">
        <f>IF(Project!G3&gt;0,Project!G3,"")</f>
        <v>1.75</v>
      </c>
      <c r="H3">
        <f>IF(Project!H3&gt;0,Project!H3,"")</f>
        <v>2</v>
      </c>
      <c r="I3">
        <f>IF(Project!I3&gt;0,Project!I3,"")</f>
        <v>2</v>
      </c>
      <c r="J3">
        <f>IF(Project!J3&gt;0,Project!J3,"")</f>
        <v>2</v>
      </c>
      <c r="K3">
        <f>IF(Project!K3&gt;0,Project!K3,"")</f>
        <v>2</v>
      </c>
      <c r="L3">
        <f>IF(Project!L3&gt;0,Project!L3,"")</f>
        <v>2</v>
      </c>
      <c r="M3">
        <f>IF(Project!M3&gt;0,Project!M3,"")</f>
        <v>2</v>
      </c>
      <c r="N3">
        <f>IF(Project!N3&gt;0,Project!N3,"")</f>
        <v>1.55</v>
      </c>
      <c r="O3">
        <f>IF(Project!O3&gt;0,Project!O3,"")</f>
        <v>1.55</v>
      </c>
      <c r="P3">
        <f>IF(Project!P3&gt;0,Project!P3,"")</f>
        <v>1.55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1.75</v>
      </c>
      <c r="C4">
        <f>IF(Project!C4&gt;0,Project!C4,"")</f>
        <v>1.1000000000000001</v>
      </c>
      <c r="D4">
        <f>IF(Project!D4&gt;0,Project!D4,"")</f>
        <v>1.2749999999999999</v>
      </c>
      <c r="E4">
        <f>IF(Project!E4&gt;0,Project!E4,"")</f>
        <v>0.95</v>
      </c>
      <c r="F4">
        <f>IF(Project!F4&gt;0,Project!F4,"")</f>
        <v>0.8</v>
      </c>
      <c r="G4">
        <f>IF(Project!G4&gt;0,Project!G4,"")</f>
        <v>0.6</v>
      </c>
      <c r="H4">
        <f>IF(Project!H4&gt;0,Project!H4,"")</f>
        <v>0.5</v>
      </c>
      <c r="I4">
        <f>IF(Project!I4&gt;0,Project!I4,"")</f>
        <v>0.5</v>
      </c>
      <c r="J4">
        <f>IF(Project!J4&gt;0,Project!J4,"")</f>
        <v>0.5</v>
      </c>
      <c r="K4">
        <f>IF(Project!K4&gt;0,Project!K4,"")</f>
        <v>0.5</v>
      </c>
      <c r="L4">
        <f>IF(Project!L4&gt;0,Project!L4,"")</f>
        <v>0.5</v>
      </c>
      <c r="M4">
        <f>IF(Project!M4&gt;0,Project!M4,"")</f>
        <v>0.5</v>
      </c>
      <c r="N4">
        <f>IF(Project!N4&gt;0,Project!N4,"")</f>
        <v>0.5</v>
      </c>
      <c r="O4">
        <f>IF(Project!O4&gt;0,Project!O4,"")</f>
        <v>0.5</v>
      </c>
      <c r="P4">
        <f>IF(Project!P4&gt;0,Project!P4,"")</f>
        <v>0.5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2.7250000000000001</v>
      </c>
      <c r="F5">
        <f>IF(Project!F5&gt;0,Project!F5,"")</f>
        <v>2.875</v>
      </c>
      <c r="G5">
        <f>IF(Project!G5&gt;0,Project!G5,"")</f>
        <v>3.46</v>
      </c>
      <c r="H5">
        <f>IF(Project!H5&gt;0,Project!H5,"")</f>
        <v>2.6850000000000001</v>
      </c>
      <c r="I5">
        <f>IF(Project!I5&gt;0,Project!I5,"")</f>
        <v>2.9849999999999999</v>
      </c>
      <c r="J5">
        <f>IF(Project!J5&gt;0,Project!J5,"")</f>
        <v>2.9849999999999999</v>
      </c>
      <c r="K5">
        <f>IF(Project!K5&gt;0,Project!K5,"")</f>
        <v>2.9224999999999999</v>
      </c>
      <c r="L5">
        <f>IF(Project!L5&gt;0,Project!L5,"")</f>
        <v>2.9224999999999999</v>
      </c>
      <c r="M5">
        <f>IF(Project!M5&gt;0,Project!M5,"")</f>
        <v>2.9224999999999999</v>
      </c>
      <c r="N5">
        <f>IF(Project!N5&gt;0,Project!N5,"")</f>
        <v>2.81</v>
      </c>
      <c r="O5">
        <f>IF(Project!O5&gt;0,Project!O5,"")</f>
        <v>2.81</v>
      </c>
      <c r="P5">
        <f>IF(Project!P5&gt;0,Project!P5,"")</f>
        <v>2.81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3.25</v>
      </c>
      <c r="C6">
        <f>IF(Project!C6&gt;0,Project!C6,"")</f>
        <v>3.625</v>
      </c>
      <c r="D6">
        <f>IF(Project!D6&gt;0,Project!D6,"")</f>
        <v>3.67</v>
      </c>
      <c r="E6">
        <f>IF(Project!E6&gt;0,Project!E6,"")</f>
        <v>3.4824999999999999</v>
      </c>
      <c r="F6">
        <f>IF(Project!F6&gt;0,Project!F6,"")</f>
        <v>2.9824999999999999</v>
      </c>
      <c r="G6">
        <f>IF(Project!G6&gt;0,Project!G6,"")</f>
        <v>2.9874999999999998</v>
      </c>
      <c r="H6">
        <f>IF(Project!H6&gt;0,Project!H6,"")</f>
        <v>2.3125</v>
      </c>
      <c r="I6">
        <f>IF(Project!I6&gt;0,Project!I6,"")</f>
        <v>2.2124999999999999</v>
      </c>
      <c r="J6">
        <f>IF(Project!J6&gt;0,Project!J6,"")</f>
        <v>3.1124999999999998</v>
      </c>
      <c r="K6">
        <f>IF(Project!K6&gt;0,Project!K6,"")</f>
        <v>3.1124999999999998</v>
      </c>
      <c r="L6">
        <f>IF(Project!L6&gt;0,Project!L6,"")</f>
        <v>3.1124999999999998</v>
      </c>
      <c r="M6">
        <f>IF(Project!M6&gt;0,Project!M6,"")</f>
        <v>3.1124999999999998</v>
      </c>
      <c r="N6">
        <f>IF(Project!N6&gt;0,Project!N6,"")</f>
        <v>3.05</v>
      </c>
      <c r="O6">
        <f>IF(Project!O6&gt;0,Project!O6,"")</f>
        <v>3.05</v>
      </c>
      <c r="P6">
        <f>IF(Project!P6&gt;0,Project!P6,"")</f>
        <v>3.05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/>
      </c>
      <c r="B7" t="str">
        <f>IF(Project!B7&gt;0,Project!B7,"")</f>
        <v/>
      </c>
      <c r="C7" t="str">
        <f>IF(Project!C7&gt;0,Project!C7,"")</f>
        <v/>
      </c>
      <c r="D7" t="str">
        <f>IF(Project!D7&gt;0,Project!D7,"")</f>
        <v/>
      </c>
      <c r="E7" t="str">
        <f>IF(Project!E7&gt;0,Project!E7,"")</f>
        <v/>
      </c>
      <c r="F7" t="str">
        <f>IF(Project!F7&gt;0,Project!F7,"")</f>
        <v/>
      </c>
      <c r="G7" t="str">
        <f>IF(Project!G7&gt;0,Project!G7,"")</f>
        <v/>
      </c>
      <c r="H7" t="str">
        <f>IF(Project!H7&gt;0,Project!H7,"")</f>
        <v/>
      </c>
      <c r="I7" t="str">
        <f>IF(Project!I7&gt;0,Project!I7,"")</f>
        <v/>
      </c>
      <c r="J7" t="str">
        <f>IF(Project!J7&gt;0,Project!J7,"")</f>
        <v/>
      </c>
      <c r="K7" t="str">
        <f>IF(Project!K7&gt;0,Project!K7,"")</f>
        <v/>
      </c>
      <c r="L7" t="str">
        <f>IF(Project!L7&gt;0,Project!L7,"")</f>
        <v/>
      </c>
      <c r="M7" t="str">
        <f>IF(Project!M7&gt;0,Project!M7,"")</f>
        <v/>
      </c>
      <c r="N7" t="str">
        <f>IF(Project!N7&gt;0,Project!N7,"")</f>
        <v/>
      </c>
      <c r="O7" t="str">
        <f>IF(Project!O7&gt;0,Project!O7,"")</f>
        <v/>
      </c>
      <c r="P7" t="str">
        <f>IF(Project!P7&gt;0,Project!P7,"")</f>
        <v/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tr">
        <f>IF(Project!A26&gt;0,Project!A26,"")</f>
        <v>WeShape platform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>
        <f>IF(Project!B26&gt;0,Project!B26,"")</f>
        <v>0.8</v>
      </c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>
        <f>IF(Project!F26&gt;0,Project!F26,"")</f>
        <v>34.655000000000001</v>
      </c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 t="str">
        <f>IF(Project!G26&gt;0,Project!G26,"")</f>
        <v/>
      </c>
    </row>
    <row r="28" spans="1:20" x14ac:dyDescent="0.2">
      <c r="A28" s="58" t="s">
        <v>129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  <row r="31" spans="1:20" x14ac:dyDescent="0.2">
      <c r="A31" s="58"/>
      <c r="B31" s="58" t="str">
        <f>Project!B51</f>
        <v>JAN</v>
      </c>
      <c r="C31" s="58" t="str">
        <f>Project!C51</f>
        <v>FEB</v>
      </c>
      <c r="D31" s="58" t="str">
        <f>Project!D51</f>
        <v>MAR</v>
      </c>
      <c r="E31" s="58" t="str">
        <f>Project!E51</f>
        <v>APR</v>
      </c>
      <c r="F31" s="58" t="str">
        <f>Project!F51</f>
        <v>MAY</v>
      </c>
      <c r="G31" s="58" t="str">
        <f>Project!G51</f>
        <v>JUN</v>
      </c>
      <c r="H31" s="58" t="str">
        <f>Project!H51</f>
        <v>JUL</v>
      </c>
      <c r="I31" s="58" t="str">
        <f>Project!I51</f>
        <v>AUG</v>
      </c>
      <c r="J31" s="58" t="str">
        <f>Project!J51</f>
        <v>SEP</v>
      </c>
      <c r="K31" s="58" t="str">
        <f>Project!K51</f>
        <v>OCT</v>
      </c>
      <c r="L31" s="58" t="str">
        <f>Project!L51</f>
        <v>NOV</v>
      </c>
      <c r="M31" s="58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3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</row>
    <row r="34" spans="1:13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3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</row>
    <row r="36" spans="1:13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3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</row>
    <row r="44" spans="1:13" x14ac:dyDescent="0.2">
      <c r="B44" s="80"/>
    </row>
    <row r="45" spans="1:13" x14ac:dyDescent="0.2">
      <c r="B45" s="8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2026-05-19T19:28:05Z</dcterms:modified>
</cp:coreProperties>
</file>