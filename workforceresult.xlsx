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/Users/miiintra/Desktop/"/>
    </mc:Choice>
  </mc:AlternateContent>
  <xr:revisionPtr revIDLastSave="0" documentId="13_ncr:1_{55E74702-662D-5D44-96A2-D291D4F6D613}" xr6:coauthVersionLast="47" xr6:coauthVersionMax="47" xr10:uidLastSave="{00000000-0000-0000-0000-000000000000}"/>
  <bookViews>
    <workbookView xWindow="14500" yWindow="3140" windowWidth="28800" windowHeight="18680" activeTab="9" xr2:uid="{9B62DE01-5AE9-7A46-A5D4-95A9ED94E5A6}"/>
  </bookViews>
  <sheets>
    <sheet name="ALL" sheetId="1" r:id="rId1"/>
    <sheet name="GraphAll" sheetId="3" r:id="rId2"/>
    <sheet name="CPS" sheetId="2" r:id="rId3"/>
    <sheet name="GraphCPS" sheetId="4" r:id="rId4"/>
    <sheet name="PSE" sheetId="5" r:id="rId5"/>
    <sheet name="GraphPSE" sheetId="6" r:id="rId6"/>
    <sheet name="SD" sheetId="7" r:id="rId7"/>
    <sheet name="GraphSD" sheetId="8" r:id="rId8"/>
    <sheet name="AIC" sheetId="9" r:id="rId9"/>
    <sheet name="GraphAIC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3" i="10" l="1"/>
  <c r="A34" i="10"/>
  <c r="A32" i="10"/>
  <c r="A23" i="10"/>
  <c r="A24" i="10"/>
  <c r="A22" i="10"/>
  <c r="A13" i="10"/>
  <c r="A14" i="10"/>
  <c r="A12" i="10"/>
  <c r="A2" i="10"/>
  <c r="A33" i="8"/>
  <c r="A34" i="8"/>
  <c r="A32" i="8"/>
  <c r="A23" i="8"/>
  <c r="A24" i="8"/>
  <c r="A22" i="8"/>
  <c r="A13" i="8"/>
  <c r="A14" i="8"/>
  <c r="A12" i="8"/>
  <c r="A2" i="8"/>
  <c r="A33" i="6"/>
  <c r="A34" i="6"/>
  <c r="A32" i="6"/>
  <c r="A23" i="6"/>
  <c r="A24" i="6"/>
  <c r="A22" i="6"/>
  <c r="A13" i="6"/>
  <c r="A14" i="6"/>
  <c r="A12" i="6"/>
  <c r="A33" i="4"/>
  <c r="A34" i="4"/>
  <c r="A32" i="4"/>
  <c r="A23" i="4"/>
  <c r="A24" i="4"/>
  <c r="A22" i="4"/>
  <c r="A13" i="4"/>
  <c r="A14" i="4"/>
  <c r="A12" i="4"/>
  <c r="F47" i="10"/>
  <c r="E47" i="10"/>
  <c r="D47" i="10"/>
  <c r="C47" i="10"/>
  <c r="B47" i="10"/>
  <c r="A47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C42" i="10"/>
  <c r="B42" i="10"/>
  <c r="A42" i="10"/>
  <c r="F41" i="10"/>
  <c r="E41" i="10"/>
  <c r="D41" i="10"/>
  <c r="C41" i="10"/>
  <c r="B41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B34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B33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B24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B23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B22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A6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A5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B4" i="10"/>
  <c r="A4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A3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C1" i="10"/>
  <c r="B1" i="10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P12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A4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A3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F47" i="6"/>
  <c r="E47" i="6"/>
  <c r="D47" i="6"/>
  <c r="C47" i="6"/>
  <c r="B47" i="6"/>
  <c r="A47" i="6"/>
  <c r="F46" i="6"/>
  <c r="E46" i="6"/>
  <c r="D46" i="6"/>
  <c r="C46" i="6"/>
  <c r="B46" i="6"/>
  <c r="A46" i="6"/>
  <c r="F45" i="6"/>
  <c r="E45" i="6"/>
  <c r="D45" i="6"/>
  <c r="C45" i="6"/>
  <c r="B45" i="6"/>
  <c r="A45" i="6"/>
  <c r="F44" i="6"/>
  <c r="E44" i="6"/>
  <c r="D44" i="6"/>
  <c r="C44" i="6"/>
  <c r="B44" i="6"/>
  <c r="A44" i="6"/>
  <c r="F43" i="6"/>
  <c r="E43" i="6"/>
  <c r="D43" i="6"/>
  <c r="C43" i="6"/>
  <c r="B43" i="6"/>
  <c r="A43" i="6"/>
  <c r="F42" i="6"/>
  <c r="E42" i="6"/>
  <c r="D42" i="6"/>
  <c r="C42" i="6"/>
  <c r="B42" i="6"/>
  <c r="A42" i="6"/>
  <c r="F41" i="6"/>
  <c r="E41" i="6"/>
  <c r="D41" i="6"/>
  <c r="C41" i="6"/>
  <c r="B41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B34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B33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B24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B23" i="6"/>
  <c r="P22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B22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7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A6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A5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A4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A3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P1" i="6"/>
  <c r="O1" i="6"/>
  <c r="N1" i="6"/>
  <c r="M1" i="6"/>
  <c r="L1" i="6"/>
  <c r="K1" i="6"/>
  <c r="J1" i="6"/>
  <c r="I1" i="6"/>
  <c r="H1" i="6"/>
  <c r="G1" i="6"/>
  <c r="F1" i="6"/>
  <c r="E1" i="6"/>
  <c r="D1" i="6"/>
  <c r="C1" i="6"/>
  <c r="B1" i="6"/>
  <c r="F47" i="4"/>
  <c r="E47" i="4"/>
  <c r="D47" i="4"/>
  <c r="C47" i="4"/>
  <c r="B47" i="4"/>
  <c r="A47" i="4"/>
  <c r="F46" i="4"/>
  <c r="E46" i="4"/>
  <c r="D46" i="4"/>
  <c r="C46" i="4"/>
  <c r="B46" i="4"/>
  <c r="A46" i="4"/>
  <c r="F45" i="4"/>
  <c r="E45" i="4"/>
  <c r="D45" i="4"/>
  <c r="C45" i="4"/>
  <c r="B45" i="4"/>
  <c r="A45" i="4"/>
  <c r="F44" i="4"/>
  <c r="E44" i="4"/>
  <c r="D44" i="4"/>
  <c r="C44" i="4"/>
  <c r="B44" i="4"/>
  <c r="A44" i="4"/>
  <c r="F43" i="4"/>
  <c r="E43" i="4"/>
  <c r="D43" i="4"/>
  <c r="C43" i="4"/>
  <c r="B43" i="4"/>
  <c r="A43" i="4"/>
  <c r="F42" i="4"/>
  <c r="E42" i="4"/>
  <c r="D42" i="4"/>
  <c r="C42" i="4"/>
  <c r="B42" i="4"/>
  <c r="A42" i="4"/>
  <c r="F41" i="4"/>
  <c r="E41" i="4"/>
  <c r="D41" i="4"/>
  <c r="C41" i="4"/>
  <c r="B41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B34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B33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B32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B24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B23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B22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A6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A5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A4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A3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B42" i="3"/>
  <c r="C42" i="3"/>
  <c r="D42" i="3"/>
  <c r="E42" i="3"/>
  <c r="F42" i="3"/>
  <c r="B43" i="3"/>
  <c r="C43" i="3"/>
  <c r="D43" i="3"/>
  <c r="E43" i="3"/>
  <c r="F43" i="3"/>
  <c r="B44" i="3"/>
  <c r="C44" i="3"/>
  <c r="D44" i="3"/>
  <c r="E44" i="3"/>
  <c r="F44" i="3"/>
  <c r="B45" i="3"/>
  <c r="C45" i="3"/>
  <c r="D45" i="3"/>
  <c r="E45" i="3"/>
  <c r="F45" i="3"/>
  <c r="B46" i="3"/>
  <c r="C46" i="3"/>
  <c r="D46" i="3"/>
  <c r="E46" i="3"/>
  <c r="F46" i="3"/>
  <c r="B47" i="3"/>
  <c r="C47" i="3"/>
  <c r="D47" i="3"/>
  <c r="E47" i="3"/>
  <c r="F47" i="3"/>
  <c r="A47" i="3"/>
  <c r="A46" i="3"/>
  <c r="A45" i="3"/>
  <c r="A44" i="3"/>
  <c r="A43" i="3"/>
  <c r="A42" i="3"/>
  <c r="C41" i="3"/>
  <c r="D41" i="3"/>
  <c r="E41" i="3"/>
  <c r="F41" i="3"/>
  <c r="B4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B33" i="3"/>
  <c r="B34" i="3"/>
  <c r="B32" i="3"/>
  <c r="A33" i="3"/>
  <c r="A34" i="3"/>
  <c r="A32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B3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B23" i="3"/>
  <c r="B24" i="3"/>
  <c r="B22" i="3"/>
  <c r="A23" i="3"/>
  <c r="A24" i="3"/>
  <c r="A22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B21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B12" i="3"/>
  <c r="A12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B11" i="3"/>
  <c r="B2" i="3"/>
  <c r="C2" i="3"/>
  <c r="D2" i="3"/>
  <c r="E2" i="3"/>
  <c r="F2" i="3"/>
  <c r="G2" i="3"/>
  <c r="H2" i="3"/>
  <c r="I2" i="3"/>
  <c r="J2" i="3"/>
  <c r="K2" i="3"/>
  <c r="L2" i="3"/>
  <c r="M2" i="3"/>
  <c r="N2" i="3"/>
  <c r="O2" i="3"/>
  <c r="P2" i="3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B4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A7" i="3"/>
  <c r="A6" i="3"/>
  <c r="A5" i="3"/>
  <c r="A3" i="3"/>
  <c r="A4" i="3"/>
  <c r="A2" i="3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B1" i="3"/>
</calcChain>
</file>

<file path=xl/sharedStrings.xml><?xml version="1.0" encoding="utf-8"?>
<sst xmlns="http://schemas.openxmlformats.org/spreadsheetml/2006/main" count="362" uniqueCount="35">
  <si>
    <t>Type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</si>
  <si>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</si>
  <si>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</si>
  <si>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</si>
  <si>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</si>
  <si>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</si>
  <si>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</si>
  <si>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</si>
  <si>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</si>
  <si>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</si>
  <si>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</si>
  <si>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</si>
  <si>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</si>
  <si>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JAN'27</t>
  </si>
  <si>
    <t>FEB'27</t>
  </si>
  <si>
    <t>MAR'27</t>
  </si>
  <si>
    <t>Staff</t>
  </si>
  <si>
    <t>Staff AVG</t>
  </si>
  <si>
    <t>Plan</t>
  </si>
  <si>
    <t>PAYROLL</t>
  </si>
  <si>
    <t>CONTRACTOR</t>
  </si>
  <si>
    <t>OUTSOURCE</t>
  </si>
  <si>
    <t>ALL</t>
  </si>
  <si>
    <t>% Plan</t>
  </si>
  <si>
    <t>Available FTE</t>
  </si>
  <si>
    <t>Q1</t>
  </si>
  <si>
    <t>Q2</t>
  </si>
  <si>
    <t>Q3</t>
  </si>
  <si>
    <t>Q4</t>
  </si>
  <si>
    <t>Q1'27</t>
  </si>
  <si>
    <t>Grand Total</t>
  </si>
  <si>
    <t>CPS</t>
  </si>
  <si>
    <t>PSE</t>
  </si>
  <si>
    <t>SD</t>
  </si>
  <si>
    <t>AIC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</si>
</sst>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i/>
      <sz val="11"/>
      <color rgb="FF7030A0"/>
      <name val="Calibri"/>
      <family val="2"/>
    </font>
    <font>
      <sz val="11"/>
      <color rgb="FF7030A0"/>
      <name val="Calibri"/>
      <family val="2"/>
    </font>
    <font>
      <b/>
      <sz val="11"/>
      <color rgb="FFFFFFFF"/>
      <name val="Calibri"/>
      <family val="2"/>
    </font>
    <font>
      <sz val="11"/>
      <color rgb="FFBF8F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EDEDED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BF8F00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833C0C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0" xfId="0" applyFont="1"/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3" fillId="7" borderId="0" xfId="0" applyFont="1" applyFill="1"/>
    <xf numFmtId="0" fontId="4" fillId="0" borderId="0" xfId="0" applyFont="1"/>
    <xf numFmtId="0" fontId="3" fillId="8" borderId="0" xfId="0" applyFont="1" applyFill="1"/>
    <xf numFmtId="0" fontId="3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5" fillId="10" borderId="0" xfId="0" applyFont="1" applyFill="1"/>
    <xf numFmtId="0" fontId="4" fillId="7" borderId="0" xfId="0" applyFont="1" applyFill="1"/>
    <xf numFmtId="0" fontId="4" fillId="9" borderId="0" xfId="0" applyFont="1" applyFill="1"/>
    <xf numFmtId="0" fontId="1" fillId="0" borderId="0" xfId="0" applyFont="1"/>
    <xf numFmtId="0" fontId="6" fillId="0" borderId="0" xfId="0" applyFont="1" applyAlignment="1">
      <alignment horizontal="right"/>
    </xf>
    <xf numFmtId="10" fontId="7" fillId="0" borderId="0" xfId="0" applyNumberFormat="1" applyFont="1"/>
    <xf numFmtId="0" fontId="7" fillId="0" borderId="0" xfId="0" applyFont="1"/>
    <xf numFmtId="0" fontId="9" fillId="0" borderId="0" xfId="0" applyFont="1"/>
    <xf numFmtId="0" fontId="8" fillId="11" borderId="1" xfId="0" applyFont="1" applyFill="1" applyBorder="1" applyAlignment="1">
      <alignment horizontal="left"/>
    </xf>
    <xf numFmtId="0" fontId="8" fillId="11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8" fillId="13" borderId="0" xfId="0" applyFont="1" applyFill="1" applyAlignment="1">
      <alignment horizontal="left"/>
    </xf>
    <xf numFmtId="0" fontId="9" fillId="0" borderId="1" xfId="0" applyFont="1" applyBorder="1"/>
    <xf numFmtId="10" fontId="4" fillId="0" borderId="1" xfId="0" applyNumberFormat="1" applyFont="1" applyBorder="1"/>
    <xf numFmtId="10" fontId="4" fillId="0" borderId="0" xfId="0" applyNumberFormat="1" applyFont="1"/>
    <xf numFmtId="10" fontId="7" fillId="0" borderId="1" xfId="0" applyNumberFormat="1" applyFont="1" applyBorder="1"/>
    <xf numFmtId="0" fontId="7" fillId="0" borderId="1" xfId="0" applyFont="1" applyBorder="1"/>
    <xf numFmtId="0" fontId="4" fillId="0" borderId="1" xfId="0" applyFont="1" applyBorder="1"/>
    <xf numFmtId="0" fontId="5" fillId="10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9BC8-0901-2D49-9889-BA2630F40C73}">
  <sheetPr>
    <tabColor theme="4"/>
  </sheetPr>
  <dimension ref="A1:Q49"/>
  <sheetViews>
    <sheetView workbookViewId="0">
      <selection activeCell="G45" sqref="G45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22</v>
      </c>
      <c r="B2" s="7" t="s">
        <v>16</v>
      </c>
      <c r="C2" s="8">
        <v>148</v>
      </c>
      <c r="D2" s="8">
        <v>149</v>
      </c>
      <c r="E2" s="8">
        <v>149</v>
      </c>
      <c r="F2" s="8">
        <v>151</v>
      </c>
      <c r="G2" s="8">
        <v>150</v>
      </c>
      <c r="H2" s="8">
        <v>150</v>
      </c>
      <c r="I2" s="8">
        <v>149</v>
      </c>
      <c r="J2" s="8">
        <v>149</v>
      </c>
      <c r="K2" s="8">
        <v>149</v>
      </c>
      <c r="L2" s="8">
        <v>149</v>
      </c>
      <c r="M2" s="8">
        <v>149</v>
      </c>
      <c r="N2" s="8">
        <v>149</v>
      </c>
      <c r="O2" s="8">
        <v>149</v>
      </c>
      <c r="P2" s="8">
        <v>149</v>
      </c>
      <c r="Q2" s="8">
        <v>149</v>
      </c>
    </row>
    <row r="3" spans="1:17" x14ac:dyDescent="0.2">
      <c r="A3" s="12" t="s">
        <v>22</v>
      </c>
      <c r="B3" s="9" t="s">
        <v>17</v>
      </c>
      <c r="C3" s="8">
        <v>149</v>
      </c>
      <c r="D3" s="8">
        <v>149</v>
      </c>
      <c r="E3" s="8">
        <v>149</v>
      </c>
      <c r="F3" s="8">
        <v>149</v>
      </c>
      <c r="G3" s="8">
        <v>149</v>
      </c>
      <c r="H3" s="8">
        <v>149</v>
      </c>
      <c r="I3" s="8">
        <v>149</v>
      </c>
      <c r="J3" s="8">
        <v>149</v>
      </c>
      <c r="K3" s="8">
        <v>149</v>
      </c>
      <c r="L3" s="8">
        <v>149</v>
      </c>
      <c r="M3" s="8">
        <v>149</v>
      </c>
      <c r="N3" s="8">
        <v>149</v>
      </c>
      <c r="O3" s="8">
        <v>149</v>
      </c>
      <c r="P3" s="8">
        <v>149</v>
      </c>
      <c r="Q3" s="8">
        <v>149</v>
      </c>
    </row>
    <row r="4" spans="1:17" x14ac:dyDescent="0.2">
      <c r="A4" s="13" t="s">
        <v>22</v>
      </c>
      <c r="B4" s="10" t="s">
        <v>18</v>
      </c>
      <c r="C4" s="8">
        <v>131</v>
      </c>
      <c r="D4" s="8">
        <v>139</v>
      </c>
      <c r="E4" s="8">
        <v>142</v>
      </c>
      <c r="F4" s="8">
        <v>143</v>
      </c>
      <c r="G4" s="8">
        <v>147</v>
      </c>
      <c r="H4" s="8">
        <v>144</v>
      </c>
      <c r="I4" s="8">
        <v>143</v>
      </c>
      <c r="J4" s="8">
        <v>140</v>
      </c>
      <c r="K4" s="8">
        <v>139</v>
      </c>
      <c r="L4" s="8">
        <v>132</v>
      </c>
      <c r="M4" s="8">
        <v>130</v>
      </c>
      <c r="N4" s="8">
        <v>130</v>
      </c>
      <c r="O4" s="8">
        <v>105</v>
      </c>
      <c r="P4" s="8">
        <v>104</v>
      </c>
      <c r="Q4" s="8">
        <v>104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0.88260000000000005</v>
      </c>
      <c r="D6" s="19">
        <v>0.93620000000000003</v>
      </c>
      <c r="E6" s="19">
        <v>0.95589999999999997</v>
      </c>
      <c r="F6" s="19">
        <v>0.94789999999999996</v>
      </c>
      <c r="G6" s="19">
        <v>0.97919999999999996</v>
      </c>
      <c r="H6" s="19">
        <v>0.95830000000000004</v>
      </c>
      <c r="I6" s="19">
        <v>0.95909999999999995</v>
      </c>
      <c r="J6" s="19">
        <v>0.93759999999999999</v>
      </c>
      <c r="K6" s="19">
        <v>0.93179999999999996</v>
      </c>
      <c r="L6" s="19">
        <v>0.88370000000000004</v>
      </c>
      <c r="M6" s="19">
        <v>0.87409999999999999</v>
      </c>
      <c r="N6" s="19">
        <v>0.86939999999999995</v>
      </c>
      <c r="O6" s="19">
        <v>0.70230000000000004</v>
      </c>
      <c r="P6" s="19">
        <v>0.70020000000000004</v>
      </c>
      <c r="Q6" s="19">
        <v>0.70020000000000004</v>
      </c>
    </row>
    <row r="7" spans="1:17" x14ac:dyDescent="0.2">
      <c r="A7" s="17"/>
      <c r="B7" s="18" t="s">
        <v>24</v>
      </c>
      <c r="C7" s="20">
        <v>17</v>
      </c>
      <c r="D7" s="20">
        <v>10</v>
      </c>
      <c r="E7" s="20">
        <v>7</v>
      </c>
      <c r="F7" s="20">
        <v>8</v>
      </c>
      <c r="G7" s="20">
        <v>3</v>
      </c>
      <c r="H7" s="20">
        <v>6</v>
      </c>
      <c r="I7" s="20">
        <v>6</v>
      </c>
      <c r="J7" s="20">
        <v>9</v>
      </c>
      <c r="K7" s="20">
        <v>10</v>
      </c>
      <c r="L7" s="20">
        <v>17</v>
      </c>
      <c r="M7" s="20">
        <v>19</v>
      </c>
      <c r="N7" s="20">
        <v>19</v>
      </c>
      <c r="O7" s="20">
        <v>44</v>
      </c>
      <c r="P7" s="20">
        <v>45</v>
      </c>
      <c r="Q7" s="20">
        <v>45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121</v>
      </c>
      <c r="D9" s="8">
        <v>120</v>
      </c>
      <c r="E9" s="8">
        <v>118</v>
      </c>
      <c r="F9" s="8">
        <v>118</v>
      </c>
      <c r="G9" s="8">
        <v>117</v>
      </c>
      <c r="H9" s="8">
        <v>117</v>
      </c>
      <c r="I9" s="8">
        <v>116</v>
      </c>
      <c r="J9" s="8">
        <v>116</v>
      </c>
      <c r="K9" s="8">
        <v>116</v>
      </c>
      <c r="L9" s="8">
        <v>116</v>
      </c>
      <c r="M9" s="8">
        <v>116</v>
      </c>
      <c r="N9" s="8">
        <v>116</v>
      </c>
      <c r="O9" s="8">
        <v>116</v>
      </c>
      <c r="P9" s="8">
        <v>116</v>
      </c>
      <c r="Q9" s="8">
        <v>116</v>
      </c>
    </row>
    <row r="10" spans="1:17" x14ac:dyDescent="0.2">
      <c r="A10" s="9" t="s">
        <v>17</v>
      </c>
      <c r="B10" s="12" t="s">
        <v>19</v>
      </c>
      <c r="C10" s="8">
        <v>117</v>
      </c>
      <c r="D10" s="8">
        <v>117</v>
      </c>
      <c r="E10" s="8">
        <v>117</v>
      </c>
      <c r="F10" s="8">
        <v>116</v>
      </c>
      <c r="G10" s="8">
        <v>116</v>
      </c>
      <c r="H10" s="8">
        <v>116</v>
      </c>
      <c r="I10" s="8">
        <v>116</v>
      </c>
      <c r="J10" s="8">
        <v>116</v>
      </c>
      <c r="K10" s="8">
        <v>116</v>
      </c>
      <c r="L10" s="8">
        <v>116</v>
      </c>
      <c r="M10" s="8">
        <v>116</v>
      </c>
      <c r="N10" s="8">
        <v>116</v>
      </c>
      <c r="O10" s="8">
        <v>116</v>
      </c>
      <c r="P10" s="8">
        <v>116</v>
      </c>
      <c r="Q10" s="8">
        <v>116</v>
      </c>
    </row>
    <row r="11" spans="1:17" x14ac:dyDescent="0.2">
      <c r="A11" s="16" t="s">
        <v>18</v>
      </c>
      <c r="B11" s="13" t="s">
        <v>19</v>
      </c>
      <c r="C11" s="8">
        <v>105</v>
      </c>
      <c r="D11" s="8">
        <v>111</v>
      </c>
      <c r="E11" s="8">
        <v>111</v>
      </c>
      <c r="F11" s="8">
        <v>112</v>
      </c>
      <c r="G11" s="8">
        <v>113</v>
      </c>
      <c r="H11" s="8">
        <v>111</v>
      </c>
      <c r="I11" s="8">
        <v>108</v>
      </c>
      <c r="J11" s="8">
        <v>105</v>
      </c>
      <c r="K11" s="8">
        <v>103</v>
      </c>
      <c r="L11" s="8">
        <v>100</v>
      </c>
      <c r="M11" s="8">
        <v>99</v>
      </c>
      <c r="N11" s="8">
        <v>98</v>
      </c>
      <c r="O11" s="8">
        <v>81</v>
      </c>
      <c r="P11" s="8">
        <v>81</v>
      </c>
      <c r="Q11" s="8">
        <v>81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21</v>
      </c>
      <c r="D13" s="8">
        <v>21</v>
      </c>
      <c r="E13" s="8">
        <v>21</v>
      </c>
      <c r="F13" s="8">
        <v>21</v>
      </c>
      <c r="G13" s="8">
        <v>21</v>
      </c>
      <c r="H13" s="8">
        <v>21</v>
      </c>
      <c r="I13" s="8">
        <v>21</v>
      </c>
      <c r="J13" s="8">
        <v>21</v>
      </c>
      <c r="K13" s="8">
        <v>21</v>
      </c>
      <c r="L13" s="8">
        <v>21</v>
      </c>
      <c r="M13" s="8">
        <v>21</v>
      </c>
      <c r="N13" s="8">
        <v>21</v>
      </c>
      <c r="O13" s="8">
        <v>21</v>
      </c>
      <c r="P13" s="8">
        <v>21</v>
      </c>
      <c r="Q13" s="8">
        <v>21</v>
      </c>
    </row>
    <row r="14" spans="1:17" x14ac:dyDescent="0.2">
      <c r="A14" s="9" t="s">
        <v>17</v>
      </c>
      <c r="B14" s="12" t="s">
        <v>20</v>
      </c>
      <c r="C14" s="8">
        <v>21</v>
      </c>
      <c r="D14" s="8">
        <v>21</v>
      </c>
      <c r="E14" s="8">
        <v>21</v>
      </c>
      <c r="F14" s="8">
        <v>21</v>
      </c>
      <c r="G14" s="8">
        <v>21</v>
      </c>
      <c r="H14" s="8">
        <v>21</v>
      </c>
      <c r="I14" s="8">
        <v>21</v>
      </c>
      <c r="J14" s="8">
        <v>21</v>
      </c>
      <c r="K14" s="8">
        <v>21</v>
      </c>
      <c r="L14" s="8">
        <v>21</v>
      </c>
      <c r="M14" s="8">
        <v>21</v>
      </c>
      <c r="N14" s="8">
        <v>21</v>
      </c>
      <c r="O14" s="8">
        <v>21</v>
      </c>
      <c r="P14" s="8">
        <v>21</v>
      </c>
      <c r="Q14" s="8">
        <v>21</v>
      </c>
    </row>
    <row r="15" spans="1:17" x14ac:dyDescent="0.2">
      <c r="A15" s="16" t="s">
        <v>18</v>
      </c>
      <c r="B15" s="13" t="s">
        <v>20</v>
      </c>
      <c r="C15" s="8">
        <v>20</v>
      </c>
      <c r="D15" s="8">
        <v>20</v>
      </c>
      <c r="E15" s="14">
        <v>22</v>
      </c>
      <c r="F15" s="8">
        <v>21</v>
      </c>
      <c r="G15" s="8">
        <v>21</v>
      </c>
      <c r="H15" s="8">
        <v>20</v>
      </c>
      <c r="I15" s="8">
        <v>20</v>
      </c>
      <c r="J15" s="8">
        <v>20</v>
      </c>
      <c r="K15" s="8">
        <v>20</v>
      </c>
      <c r="L15" s="8">
        <v>19</v>
      </c>
      <c r="M15" s="8">
        <v>19</v>
      </c>
      <c r="N15" s="8">
        <v>19</v>
      </c>
      <c r="O15" s="8">
        <v>17</v>
      </c>
      <c r="P15" s="8">
        <v>17</v>
      </c>
      <c r="Q15" s="8">
        <v>17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10</v>
      </c>
      <c r="F17" s="8">
        <v>12</v>
      </c>
      <c r="G17" s="8">
        <v>12</v>
      </c>
      <c r="H17" s="8">
        <v>12</v>
      </c>
      <c r="I17" s="8">
        <v>12</v>
      </c>
      <c r="J17" s="8">
        <v>12</v>
      </c>
      <c r="K17" s="8">
        <v>12</v>
      </c>
      <c r="L17" s="8">
        <v>12</v>
      </c>
      <c r="M17" s="8">
        <v>12</v>
      </c>
      <c r="N17" s="8">
        <v>12</v>
      </c>
      <c r="O17" s="8">
        <v>12</v>
      </c>
      <c r="P17" s="8">
        <v>12</v>
      </c>
      <c r="Q17" s="8">
        <v>12</v>
      </c>
    </row>
    <row r="18" spans="1:17" x14ac:dyDescent="0.2">
      <c r="A18" s="9" t="s">
        <v>17</v>
      </c>
      <c r="B18" s="12" t="s">
        <v>21</v>
      </c>
      <c r="C18" s="8">
        <v>11</v>
      </c>
      <c r="D18" s="8">
        <v>11</v>
      </c>
      <c r="E18" s="8">
        <v>11</v>
      </c>
      <c r="F18" s="8">
        <v>11</v>
      </c>
      <c r="G18" s="8">
        <v>11</v>
      </c>
      <c r="H18" s="8">
        <v>11</v>
      </c>
      <c r="I18" s="8">
        <v>11</v>
      </c>
      <c r="J18" s="8">
        <v>11</v>
      </c>
      <c r="K18" s="8">
        <v>11</v>
      </c>
      <c r="L18" s="8">
        <v>11</v>
      </c>
      <c r="M18" s="8">
        <v>11</v>
      </c>
      <c r="N18" s="8">
        <v>11</v>
      </c>
      <c r="O18" s="8">
        <v>11</v>
      </c>
      <c r="P18" s="8">
        <v>11</v>
      </c>
      <c r="Q18" s="8">
        <v>11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8">
        <v>10</v>
      </c>
      <c r="F19" s="8">
        <v>10</v>
      </c>
      <c r="G19" s="14">
        <v>12</v>
      </c>
      <c r="H19" s="14">
        <v>14</v>
      </c>
      <c r="I19" s="14">
        <v>15</v>
      </c>
      <c r="J19" s="14">
        <v>15</v>
      </c>
      <c r="K19" s="14">
        <v>16</v>
      </c>
      <c r="L19" s="14">
        <v>12</v>
      </c>
      <c r="M19" s="14">
        <v>12</v>
      </c>
      <c r="N19" s="14">
        <v>12</v>
      </c>
      <c r="O19" s="8">
        <v>7</v>
      </c>
      <c r="P19" s="8">
        <v>7</v>
      </c>
      <c r="Q19" s="8">
        <v>7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  <c r="H31" s="25"/>
    </row>
    <row r="32" spans="1:17" x14ac:dyDescent="0.2">
      <c r="A32" s="11" t="s">
        <v>22</v>
      </c>
      <c r="B32" s="7" t="s">
        <v>16</v>
      </c>
      <c r="C32" s="26">
        <v>149</v>
      </c>
      <c r="D32" s="21">
        <v>150</v>
      </c>
      <c r="E32" s="21">
        <v>149</v>
      </c>
      <c r="F32" s="21">
        <v>149</v>
      </c>
      <c r="G32" s="21">
        <v>149</v>
      </c>
      <c r="H32" s="21"/>
    </row>
    <row r="33" spans="1:8" x14ac:dyDescent="0.2">
      <c r="A33" s="12" t="s">
        <v>22</v>
      </c>
      <c r="B33" s="9" t="s">
        <v>17</v>
      </c>
      <c r="C33" s="26">
        <v>149</v>
      </c>
      <c r="D33" s="21">
        <v>149</v>
      </c>
      <c r="E33" s="21">
        <v>149</v>
      </c>
      <c r="F33" s="21">
        <v>149</v>
      </c>
      <c r="G33" s="21">
        <v>149</v>
      </c>
      <c r="H33" s="21"/>
    </row>
    <row r="34" spans="1:8" x14ac:dyDescent="0.2">
      <c r="A34" s="13" t="s">
        <v>22</v>
      </c>
      <c r="B34" s="10" t="s">
        <v>18</v>
      </c>
      <c r="C34" s="26">
        <v>138</v>
      </c>
      <c r="D34" s="21">
        <v>145</v>
      </c>
      <c r="E34" s="21">
        <v>140</v>
      </c>
      <c r="F34" s="21">
        <v>130</v>
      </c>
      <c r="G34" s="21">
        <v>121</v>
      </c>
      <c r="H34" s="21"/>
    </row>
    <row r="35" spans="1:8" x14ac:dyDescent="0.2">
      <c r="A35" s="17"/>
      <c r="B35" s="8"/>
      <c r="C35" s="27">
        <v>7.4999999999999997E-2</v>
      </c>
      <c r="D35" s="28">
        <v>3.8199999999999998E-2</v>
      </c>
      <c r="E35" s="28">
        <v>5.7200000000000001E-2</v>
      </c>
      <c r="F35" s="28">
        <v>0.12429999999999999</v>
      </c>
      <c r="G35" s="28">
        <v>0.18479999999999999</v>
      </c>
      <c r="H35" s="8"/>
    </row>
    <row r="36" spans="1:8" x14ac:dyDescent="0.2">
      <c r="A36" s="8"/>
      <c r="B36" s="18" t="s">
        <v>23</v>
      </c>
      <c r="C36" s="29">
        <v>0.92500000000000004</v>
      </c>
      <c r="D36" s="19">
        <v>0.96179999999999999</v>
      </c>
      <c r="E36" s="19">
        <v>0.94279999999999997</v>
      </c>
      <c r="F36" s="19">
        <v>0.87570000000000003</v>
      </c>
      <c r="G36" s="19">
        <v>0.81520000000000004</v>
      </c>
      <c r="H36" s="20"/>
    </row>
    <row r="37" spans="1:8" x14ac:dyDescent="0.2">
      <c r="A37" s="17"/>
      <c r="B37" s="18" t="s">
        <v>24</v>
      </c>
      <c r="C37" s="30">
        <v>11</v>
      </c>
      <c r="D37" s="20">
        <v>6</v>
      </c>
      <c r="E37" s="20">
        <v>9</v>
      </c>
      <c r="F37" s="20">
        <v>19</v>
      </c>
      <c r="G37" s="20">
        <v>28</v>
      </c>
      <c r="H37" s="20"/>
    </row>
    <row r="38" spans="1:8" x14ac:dyDescent="0.2">
      <c r="A38" s="17"/>
      <c r="B38" s="8"/>
      <c r="C38" s="31"/>
      <c r="D38" s="21"/>
      <c r="E38" s="21"/>
      <c r="F38" s="21"/>
      <c r="G38" s="21"/>
      <c r="H38" s="21"/>
    </row>
    <row r="39" spans="1:8" x14ac:dyDescent="0.2">
      <c r="A39" s="15" t="s">
        <v>16</v>
      </c>
      <c r="B39" s="11" t="s">
        <v>19</v>
      </c>
      <c r="C39" s="26">
        <v>120</v>
      </c>
      <c r="D39" s="21">
        <v>117</v>
      </c>
      <c r="E39" s="21">
        <v>116</v>
      </c>
      <c r="F39" s="21">
        <v>116</v>
      </c>
      <c r="G39" s="21">
        <v>116</v>
      </c>
      <c r="H39" s="21"/>
    </row>
    <row r="40" spans="1:8" x14ac:dyDescent="0.2">
      <c r="A40" s="9" t="s">
        <v>17</v>
      </c>
      <c r="B40" s="12" t="s">
        <v>19</v>
      </c>
      <c r="C40" s="26">
        <v>117</v>
      </c>
      <c r="D40" s="21">
        <v>116</v>
      </c>
      <c r="E40" s="21">
        <v>116</v>
      </c>
      <c r="F40" s="21">
        <v>116</v>
      </c>
      <c r="G40" s="21">
        <v>116</v>
      </c>
      <c r="H40" s="21"/>
    </row>
    <row r="41" spans="1:8" x14ac:dyDescent="0.2">
      <c r="A41" s="16" t="s">
        <v>18</v>
      </c>
      <c r="B41" s="13" t="s">
        <v>19</v>
      </c>
      <c r="C41" s="26">
        <v>109</v>
      </c>
      <c r="D41" s="21">
        <v>112</v>
      </c>
      <c r="E41" s="21">
        <v>105</v>
      </c>
      <c r="F41" s="21">
        <v>99</v>
      </c>
      <c r="G41" s="21">
        <v>93</v>
      </c>
      <c r="H41" s="21"/>
    </row>
    <row r="42" spans="1:8" x14ac:dyDescent="0.2">
      <c r="A42" s="8"/>
      <c r="B42" s="17"/>
      <c r="C42" s="26"/>
      <c r="D42" s="21"/>
      <c r="E42" s="21"/>
      <c r="F42" s="21"/>
      <c r="G42" s="21"/>
      <c r="H42" s="21"/>
    </row>
    <row r="43" spans="1:8" x14ac:dyDescent="0.2">
      <c r="A43" s="15" t="s">
        <v>16</v>
      </c>
      <c r="B43" s="11" t="s">
        <v>20</v>
      </c>
      <c r="C43" s="26">
        <v>21</v>
      </c>
      <c r="D43" s="21">
        <v>21</v>
      </c>
      <c r="E43" s="21">
        <v>21</v>
      </c>
      <c r="F43" s="21">
        <v>21</v>
      </c>
      <c r="G43" s="21">
        <v>21</v>
      </c>
      <c r="H43" s="21"/>
    </row>
    <row r="44" spans="1:8" x14ac:dyDescent="0.2">
      <c r="A44" s="9" t="s">
        <v>17</v>
      </c>
      <c r="B44" s="12" t="s">
        <v>20</v>
      </c>
      <c r="C44" s="26">
        <v>21</v>
      </c>
      <c r="D44" s="21">
        <v>21</v>
      </c>
      <c r="E44" s="21">
        <v>21</v>
      </c>
      <c r="F44" s="21">
        <v>21</v>
      </c>
      <c r="G44" s="21">
        <v>21</v>
      </c>
      <c r="H44" s="21"/>
    </row>
    <row r="45" spans="1:8" x14ac:dyDescent="0.2">
      <c r="A45" s="16" t="s">
        <v>18</v>
      </c>
      <c r="B45" s="13" t="s">
        <v>20</v>
      </c>
      <c r="C45" s="26">
        <v>21</v>
      </c>
      <c r="D45" s="21">
        <v>21</v>
      </c>
      <c r="E45" s="21">
        <v>20</v>
      </c>
      <c r="F45" s="21">
        <v>19</v>
      </c>
      <c r="G45" s="21">
        <v>18</v>
      </c>
      <c r="H45" s="21"/>
    </row>
    <row r="46" spans="1:8" x14ac:dyDescent="0.2">
      <c r="A46" s="8"/>
      <c r="B46" s="17"/>
      <c r="C46" s="26"/>
      <c r="D46" s="21"/>
      <c r="E46" s="21"/>
      <c r="F46" s="21"/>
      <c r="G46" s="21"/>
      <c r="H46" s="21"/>
    </row>
    <row r="47" spans="1:8" x14ac:dyDescent="0.2">
      <c r="A47" s="15" t="s">
        <v>16</v>
      </c>
      <c r="B47" s="11" t="s">
        <v>21</v>
      </c>
      <c r="C47" s="26">
        <v>8</v>
      </c>
      <c r="D47" s="21">
        <v>12</v>
      </c>
      <c r="E47" s="21">
        <v>12</v>
      </c>
      <c r="F47" s="21">
        <v>12</v>
      </c>
      <c r="G47" s="21">
        <v>12</v>
      </c>
      <c r="H47" s="21"/>
    </row>
    <row r="48" spans="1:8" x14ac:dyDescent="0.2">
      <c r="A48" s="9" t="s">
        <v>17</v>
      </c>
      <c r="B48" s="12" t="s">
        <v>21</v>
      </c>
      <c r="C48" s="26">
        <v>11</v>
      </c>
      <c r="D48" s="21">
        <v>11</v>
      </c>
      <c r="E48" s="21">
        <v>11</v>
      </c>
      <c r="F48" s="21">
        <v>11</v>
      </c>
      <c r="G48" s="21">
        <v>11</v>
      </c>
      <c r="H48" s="21"/>
    </row>
    <row r="49" spans="1:8" x14ac:dyDescent="0.2">
      <c r="A49" s="16" t="s">
        <v>18</v>
      </c>
      <c r="B49" s="13" t="s">
        <v>21</v>
      </c>
      <c r="C49" s="26">
        <v>8</v>
      </c>
      <c r="D49" s="21">
        <v>12</v>
      </c>
      <c r="E49" s="14">
        <v>15</v>
      </c>
      <c r="F49" s="14">
        <v>12</v>
      </c>
      <c r="G49" s="21">
        <v>11</v>
      </c>
      <c r="H49" s="2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0BEDF-2DC8-5B43-A028-CE573B9B779F}">
  <sheetPr>
    <tabColor theme="4" tint="0.79998168889431442"/>
  </sheetPr>
  <dimension ref="A1:P47"/>
  <sheetViews>
    <sheetView workbookViewId="0">
      <selection activeCell="G51" sqref="G51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IF(ALL!C1&gt;0,ALL!C1,"")</f>
        <v>JAN</v>
      </c>
      <c r="C1" t="str">
        <f>IF(ALL!D1&gt;0,ALL!D1,"")</f>
        <v>FEB</v>
      </c>
      <c r="D1" t="str">
        <f>IF(ALL!E1&gt;0,ALL!E1,"")</f>
        <v>MAR</v>
      </c>
      <c r="E1" t="str">
        <f>IF(ALL!F1&gt;0,ALL!F1,"")</f>
        <v>APR</v>
      </c>
      <c r="F1" t="str">
        <f>IF(ALL!G1&gt;0,ALL!G1,"")</f>
        <v>MAY</v>
      </c>
      <c r="G1" t="str">
        <f>IF(ALL!H1&gt;0,ALL!H1,"")</f>
        <v>JUN</v>
      </c>
      <c r="H1" t="str">
        <f>IF(ALL!I1&gt;0,ALL!I1,"")</f>
        <v>JUL</v>
      </c>
      <c r="I1" t="str">
        <f>IF(ALL!J1&gt;0,ALL!J1,"")</f>
        <v>AUG</v>
      </c>
      <c r="J1" t="str">
        <f>IF(ALL!K1&gt;0,ALL!K1,"")</f>
        <v>SEP</v>
      </c>
      <c r="K1" t="str">
        <f>IF(ALL!L1&gt;0,ALL!L1,"")</f>
        <v>OCT</v>
      </c>
      <c r="L1" t="str">
        <f>IF(ALL!M1&gt;0,ALL!M1,"")</f>
        <v>NOV</v>
      </c>
      <c r="M1" t="str">
        <f>IF(ALL!N1&gt;0,ALL!N1,"")</f>
        <v>DEC</v>
      </c>
      <c r="N1" t="str">
        <f>IF(ALL!O1&gt;0,ALL!O1,"")</f>
        <v>JAN'27</v>
      </c>
      <c r="O1" t="str">
        <f>IF(ALL!P1&gt;0,ALL!P1,"")</f>
        <v>FEB'27</v>
      </c>
      <c r="P1" t="str">
        <f>IF(ALL!Q1&gt;0,ALL!Q1,"")</f>
        <v>MAR'27</v>
      </c>
    </row>
    <row r="2" spans="1:16" x14ac:dyDescent="0.2">
      <c r="A2" t="str">
        <f>IF(ALL!B2&gt;0,ALL!B2,"")</f>
        <v>Staff</v>
      </c>
      <c r="B2">
        <f>IF(ALL!C2&gt;0,ALL!C2,"")</f>
        <v>148</v>
      </c>
      <c r="C2">
        <f>IF(ALL!D2&gt;0,ALL!D2,"")</f>
        <v>149</v>
      </c>
      <c r="D2">
        <f>IF(ALL!E2&gt;0,ALL!E2,"")</f>
        <v>149</v>
      </c>
      <c r="E2">
        <f>IF(ALL!F2&gt;0,ALL!F2,"")</f>
        <v>151</v>
      </c>
      <c r="F2">
        <f>IF(ALL!G2&gt;0,ALL!G2,"")</f>
        <v>150</v>
      </c>
      <c r="G2">
        <f>IF(ALL!H2&gt;0,ALL!H2,"")</f>
        <v>150</v>
      </c>
      <c r="H2">
        <f>IF(ALL!I2&gt;0,ALL!I2,"")</f>
        <v>149</v>
      </c>
      <c r="I2">
        <f>IF(ALL!J2&gt;0,ALL!J2,"")</f>
        <v>149</v>
      </c>
      <c r="J2">
        <f>IF(ALL!K2&gt;0,ALL!K2,"")</f>
        <v>149</v>
      </c>
      <c r="K2">
        <f>IF(ALL!L2&gt;0,ALL!L2,"")</f>
        <v>149</v>
      </c>
      <c r="L2">
        <f>IF(ALL!M2&gt;0,ALL!M2,"")</f>
        <v>149</v>
      </c>
      <c r="M2">
        <f>IF(ALL!N2&gt;0,ALL!N2,"")</f>
        <v>149</v>
      </c>
      <c r="N2">
        <f>IF(ALL!O2&gt;0,ALL!O2,"")</f>
        <v>149</v>
      </c>
      <c r="O2">
        <f>IF(ALL!P2&gt;0,ALL!P2,"")</f>
        <v>149</v>
      </c>
      <c r="P2">
        <f>IF(ALL!Q2&gt;0,ALL!Q2,"")</f>
        <v>149</v>
      </c>
    </row>
    <row r="3" spans="1:16" x14ac:dyDescent="0.2">
      <c r="A3" t="str">
        <f>IF(ALL!B3&gt;0,ALL!B3,"")</f>
        <v>Staff AVG</v>
      </c>
      <c r="B3">
        <f>IF(ALL!C3&gt;0,ALL!C3,"")</f>
        <v>149</v>
      </c>
      <c r="C3">
        <f>IF(ALL!D3&gt;0,ALL!D3,"")</f>
        <v>149</v>
      </c>
      <c r="D3">
        <f>IF(ALL!E3&gt;0,ALL!E3,"")</f>
        <v>149</v>
      </c>
      <c r="E3">
        <f>IF(ALL!F3&gt;0,ALL!F3,"")</f>
        <v>149</v>
      </c>
      <c r="F3">
        <f>IF(ALL!G3&gt;0,ALL!G3,"")</f>
        <v>149</v>
      </c>
      <c r="G3">
        <f>IF(ALL!H3&gt;0,ALL!H3,"")</f>
        <v>149</v>
      </c>
      <c r="H3">
        <f>IF(ALL!I3&gt;0,ALL!I3,"")</f>
        <v>149</v>
      </c>
      <c r="I3">
        <f>IF(ALL!J3&gt;0,ALL!J3,"")</f>
        <v>149</v>
      </c>
      <c r="J3">
        <f>IF(ALL!K3&gt;0,ALL!K3,"")</f>
        <v>149</v>
      </c>
      <c r="K3">
        <f>IF(ALL!L3&gt;0,ALL!L3,"")</f>
        <v>149</v>
      </c>
      <c r="L3">
        <f>IF(ALL!M3&gt;0,ALL!M3,"")</f>
        <v>149</v>
      </c>
      <c r="M3">
        <f>IF(ALL!N3&gt;0,ALL!N3,"")</f>
        <v>149</v>
      </c>
      <c r="N3">
        <f>IF(ALL!O3&gt;0,ALL!O3,"")</f>
        <v>149</v>
      </c>
      <c r="O3">
        <f>IF(ALL!P3&gt;0,ALL!P3,"")</f>
        <v>149</v>
      </c>
      <c r="P3">
        <f>IF(ALL!Q3&gt;0,ALL!Q3,"")</f>
        <v>149</v>
      </c>
    </row>
    <row r="4" spans="1:16" x14ac:dyDescent="0.2">
      <c r="A4" t="str">
        <f>IF(ALL!B4&gt;0,ALL!B4,"")</f>
        <v>Plan</v>
      </c>
      <c r="B4">
        <f>IF(ALL!C4&gt;0,ALL!C4,"")</f>
        <v>131</v>
      </c>
      <c r="C4">
        <f>IF(ALL!D4&gt;0,ALL!D4,"")</f>
        <v>139</v>
      </c>
      <c r="D4">
        <f>IF(ALL!E4&gt;0,ALL!E4,"")</f>
        <v>142</v>
      </c>
      <c r="E4">
        <f>IF(ALL!F4&gt;0,ALL!F4,"")</f>
        <v>143</v>
      </c>
      <c r="F4">
        <f>IF(ALL!G4&gt;0,ALL!G4,"")</f>
        <v>147</v>
      </c>
      <c r="G4">
        <f>IF(ALL!H4&gt;0,ALL!H4,"")</f>
        <v>144</v>
      </c>
      <c r="H4">
        <f>IF(ALL!I4&gt;0,ALL!I4,"")</f>
        <v>143</v>
      </c>
      <c r="I4">
        <f>IF(ALL!J4&gt;0,ALL!J4,"")</f>
        <v>140</v>
      </c>
      <c r="J4">
        <f>IF(ALL!K4&gt;0,ALL!K4,"")</f>
        <v>139</v>
      </c>
      <c r="K4">
        <f>IF(ALL!L4&gt;0,ALL!L4,"")</f>
        <v>132</v>
      </c>
      <c r="L4">
        <f>IF(ALL!M4&gt;0,ALL!M4,"")</f>
        <v>130</v>
      </c>
      <c r="M4">
        <f>IF(ALL!N4&gt;0,ALL!N4,"")</f>
        <v>130</v>
      </c>
      <c r="N4">
        <f>IF(ALL!O4&gt;0,ALL!O4,"")</f>
        <v>105</v>
      </c>
      <c r="O4">
        <f>IF(ALL!P4&gt;0,ALL!P4,"")</f>
        <v>104</v>
      </c>
      <c r="P4">
        <f>IF(ALL!Q4&gt;0,ALL!Q4,"")</f>
        <v>104</v>
      </c>
    </row>
    <row r="5" spans="1:16" x14ac:dyDescent="0.2">
      <c r="A5" t="str">
        <f>IF(ALL!B11&gt;0,ALL!B11,"")</f>
        <v>PAYROLL</v>
      </c>
      <c r="B5">
        <f>IF(ALL!C11&gt;0,ALL!C11,"")</f>
        <v>105</v>
      </c>
      <c r="C5">
        <f>IF(ALL!D11&gt;0,ALL!D11,"")</f>
        <v>111</v>
      </c>
      <c r="D5">
        <f>IF(ALL!E11&gt;0,ALL!E11,"")</f>
        <v>111</v>
      </c>
      <c r="E5">
        <f>IF(ALL!F11&gt;0,ALL!F11,"")</f>
        <v>112</v>
      </c>
      <c r="F5">
        <f>IF(ALL!G11&gt;0,ALL!G11,"")</f>
        <v>113</v>
      </c>
      <c r="G5">
        <f>IF(ALL!H11&gt;0,ALL!H11,"")</f>
        <v>111</v>
      </c>
      <c r="H5">
        <f>IF(ALL!I11&gt;0,ALL!I11,"")</f>
        <v>108</v>
      </c>
      <c r="I5">
        <f>IF(ALL!J11&gt;0,ALL!J11,"")</f>
        <v>105</v>
      </c>
      <c r="J5">
        <f>IF(ALL!K11&gt;0,ALL!K11,"")</f>
        <v>103</v>
      </c>
      <c r="K5">
        <f>IF(ALL!L11&gt;0,ALL!L11,"")</f>
        <v>100</v>
      </c>
      <c r="L5">
        <f>IF(ALL!M11&gt;0,ALL!M11,"")</f>
        <v>99</v>
      </c>
      <c r="M5">
        <f>IF(ALL!N11&gt;0,ALL!N11,"")</f>
        <v>98</v>
      </c>
      <c r="N5">
        <f>IF(ALL!O11&gt;0,ALL!O11,"")</f>
        <v>81</v>
      </c>
      <c r="O5">
        <f>IF(ALL!P11&gt;0,ALL!P11,"")</f>
        <v>81</v>
      </c>
      <c r="P5">
        <f>IF(ALL!Q11&gt;0,ALL!Q11,"")</f>
        <v>81</v>
      </c>
    </row>
    <row r="6" spans="1:16" x14ac:dyDescent="0.2">
      <c r="A6" t="str">
        <f>IF(ALL!B15&gt;0,ALL!B15,"")</f>
        <v>CONTRACTOR</v>
      </c>
      <c r="B6">
        <f>IF(ALL!C15&gt;0,ALL!C15,"")</f>
        <v>20</v>
      </c>
      <c r="C6">
        <f>IF(ALL!D15&gt;0,ALL!D15,"")</f>
        <v>20</v>
      </c>
      <c r="D6">
        <f>IF(ALL!E15&gt;0,ALL!E15,"")</f>
        <v>22</v>
      </c>
      <c r="E6">
        <f>IF(ALL!F15&gt;0,ALL!F15,"")</f>
        <v>21</v>
      </c>
      <c r="F6">
        <f>IF(ALL!G15&gt;0,ALL!G15,"")</f>
        <v>21</v>
      </c>
      <c r="G6">
        <f>IF(ALL!H15&gt;0,ALL!H15,"")</f>
        <v>20</v>
      </c>
      <c r="H6">
        <f>IF(ALL!I15&gt;0,ALL!I15,"")</f>
        <v>20</v>
      </c>
      <c r="I6">
        <f>IF(ALL!J15&gt;0,ALL!J15,"")</f>
        <v>20</v>
      </c>
      <c r="J6">
        <f>IF(ALL!K15&gt;0,ALL!K15,"")</f>
        <v>20</v>
      </c>
      <c r="K6">
        <f>IF(ALL!L15&gt;0,ALL!L15,"")</f>
        <v>19</v>
      </c>
      <c r="L6">
        <f>IF(ALL!M15&gt;0,ALL!M15,"")</f>
        <v>19</v>
      </c>
      <c r="M6">
        <f>IF(ALL!N15&gt;0,ALL!N15,"")</f>
        <v>19</v>
      </c>
      <c r="N6">
        <f>IF(ALL!O15&gt;0,ALL!O15,"")</f>
        <v>17</v>
      </c>
      <c r="O6">
        <f>IF(ALL!P15&gt;0,ALL!P15,"")</f>
        <v>17</v>
      </c>
      <c r="P6">
        <f>IF(ALL!Q15&gt;0,ALL!Q15,"")</f>
        <v>17</v>
      </c>
    </row>
    <row r="7" spans="1:16" x14ac:dyDescent="0.2">
      <c r="A7" t="str">
        <f>IF(ALL!B19&gt;0,ALL!B19,"")</f>
        <v>OUTSOURCE</v>
      </c>
      <c r="B7">
        <f>IF(ALL!C19&gt;0,ALL!C19,"")</f>
        <v>6</v>
      </c>
      <c r="C7">
        <f>IF(ALL!D19&gt;0,ALL!D19,"")</f>
        <v>8</v>
      </c>
      <c r="D7">
        <f>IF(ALL!E19&gt;0,ALL!E19,"")</f>
        <v>10</v>
      </c>
      <c r="E7">
        <f>IF(ALL!F19&gt;0,ALL!F19,"")</f>
        <v>10</v>
      </c>
      <c r="F7">
        <f>IF(ALL!G19&gt;0,ALL!G19,"")</f>
        <v>12</v>
      </c>
      <c r="G7">
        <f>IF(ALL!H19&gt;0,ALL!H19,"")</f>
        <v>14</v>
      </c>
      <c r="H7">
        <f>IF(ALL!I19&gt;0,ALL!I19,"")</f>
        <v>15</v>
      </c>
      <c r="I7">
        <f>IF(ALL!J19&gt;0,ALL!J19,"")</f>
        <v>15</v>
      </c>
      <c r="J7">
        <f>IF(ALL!K19&gt;0,ALL!K19,"")</f>
        <v>16</v>
      </c>
      <c r="K7">
        <f>IF(ALL!L19&gt;0,ALL!L19,"")</f>
        <v>12</v>
      </c>
      <c r="L7">
        <f>IF(ALL!M19&gt;0,ALL!M19,"")</f>
        <v>12</v>
      </c>
      <c r="M7">
        <f>IF(ALL!N19&gt;0,ALL!N19,"")</f>
        <v>12</v>
      </c>
      <c r="N7">
        <f>IF(ALL!O19&gt;0,ALL!O19,"")</f>
        <v>7</v>
      </c>
      <c r="O7">
        <f>IF(ALL!P19&gt;0,ALL!P19,"")</f>
        <v>7</v>
      </c>
      <c r="P7">
        <f>IF(ALL!Q19&gt;0,ALL!Q19,"")</f>
        <v>7</v>
      </c>
    </row>
    <row r="11" spans="1:16" x14ac:dyDescent="0.2">
      <c r="B11" t="str">
        <f>IF(ALL!C1&gt;0,ALL!C1,"")</f>
        <v>JAN</v>
      </c>
      <c r="C11" t="str">
        <f>IF(ALL!D1&gt;0,ALL!D1,"")</f>
        <v>FEB</v>
      </c>
      <c r="D11" t="str">
        <f>IF(ALL!E1&gt;0,ALL!E1,"")</f>
        <v>MAR</v>
      </c>
      <c r="E11" t="str">
        <f>IF(ALL!F1&gt;0,ALL!F1,"")</f>
        <v>APR</v>
      </c>
      <c r="F11" t="str">
        <f>IF(ALL!G1&gt;0,ALL!G1,"")</f>
        <v>MAY</v>
      </c>
      <c r="G11" t="str">
        <f>IF(ALL!H1&gt;0,ALL!H1,"")</f>
        <v>JUN</v>
      </c>
      <c r="H11" t="str">
        <f>IF(ALL!I1&gt;0,ALL!I1,"")</f>
        <v>JUL</v>
      </c>
      <c r="I11" t="str">
        <f>IF(ALL!J1&gt;0,ALL!J1,"")</f>
        <v>AUG</v>
      </c>
      <c r="J11" t="str">
        <f>IF(ALL!K1&gt;0,ALL!K1,"")</f>
        <v>SEP</v>
      </c>
      <c r="K11" t="str">
        <f>IF(ALL!L1&gt;0,ALL!L1,"")</f>
        <v>OCT</v>
      </c>
      <c r="L11" t="str">
        <f>IF(ALL!M1&gt;0,ALL!M1,"")</f>
        <v>NOV</v>
      </c>
      <c r="M11" t="str">
        <f>IF(ALL!N1&gt;0,ALL!N1,"")</f>
        <v>DEC</v>
      </c>
      <c r="N11" t="str">
        <f>IF(ALL!O1&gt;0,ALL!O1,"")</f>
        <v>JAN'27</v>
      </c>
      <c r="O11" t="str">
        <f>IF(ALL!P1&gt;0,ALL!P1,"")</f>
        <v>FEB'27</v>
      </c>
      <c r="P11" t="str">
        <f>IF(ALL!Q1&gt;0,ALL!Q1,"")</f>
        <v>MAR'27</v>
      </c>
    </row>
    <row r="12" spans="1:16" x14ac:dyDescent="0.2">
      <c r="A12" t="str">
        <f>IF(ALL!A9&gt;0,ALL!A9,"")</f>
        <v>Staff</v>
      </c>
      <c r="B12">
        <f>IF(ALL!C9&gt;0,ALL!C9,"")</f>
        <v>121</v>
      </c>
      <c r="C12">
        <f>IF(ALL!D9&gt;0,ALL!D9,"")</f>
        <v>120</v>
      </c>
      <c r="D12">
        <f>IF(ALL!E9&gt;0,ALL!E9,"")</f>
        <v>118</v>
      </c>
      <c r="E12">
        <f>IF(ALL!F9&gt;0,ALL!F9,"")</f>
        <v>118</v>
      </c>
      <c r="F12">
        <f>IF(ALL!G9&gt;0,ALL!G9,"")</f>
        <v>117</v>
      </c>
      <c r="G12">
        <f>IF(ALL!H9&gt;0,ALL!H9,"")</f>
        <v>117</v>
      </c>
      <c r="H12">
        <f>IF(ALL!I9&gt;0,ALL!I9,"")</f>
        <v>116</v>
      </c>
      <c r="I12">
        <f>IF(ALL!J9&gt;0,ALL!J9,"")</f>
        <v>116</v>
      </c>
      <c r="J12">
        <f>IF(ALL!K9&gt;0,ALL!K9,"")</f>
        <v>116</v>
      </c>
      <c r="K12">
        <f>IF(ALL!L9&gt;0,ALL!L9,"")</f>
        <v>116</v>
      </c>
      <c r="L12">
        <f>IF(ALL!M9&gt;0,ALL!M9,"")</f>
        <v>116</v>
      </c>
      <c r="M12">
        <f>IF(ALL!N9&gt;0,ALL!N9,"")</f>
        <v>116</v>
      </c>
      <c r="N12">
        <f>IF(ALL!O9&gt;0,ALL!O9,"")</f>
        <v>116</v>
      </c>
      <c r="O12">
        <f>IF(ALL!P9&gt;0,ALL!P9,"")</f>
        <v>116</v>
      </c>
      <c r="P12">
        <f>IF(ALL!Q9&gt;0,ALL!Q9,"")</f>
        <v>116</v>
      </c>
    </row>
    <row r="13" spans="1:16" x14ac:dyDescent="0.2">
      <c r="A13" t="str">
        <f>IF(ALL!A10&gt;0,ALL!A10,"")</f>
        <v>Staff AVG</v>
      </c>
      <c r="B13">
        <f>IF(ALL!C10&gt;0,ALL!C10,"")</f>
        <v>117</v>
      </c>
      <c r="C13">
        <f>IF(ALL!D10&gt;0,ALL!D10,"")</f>
        <v>117</v>
      </c>
      <c r="D13">
        <f>IF(ALL!E10&gt;0,ALL!E10,"")</f>
        <v>117</v>
      </c>
      <c r="E13">
        <f>IF(ALL!F10&gt;0,ALL!F10,"")</f>
        <v>116</v>
      </c>
      <c r="F13">
        <f>IF(ALL!G10&gt;0,ALL!G10,"")</f>
        <v>116</v>
      </c>
      <c r="G13">
        <f>IF(ALL!H10&gt;0,ALL!H10,"")</f>
        <v>116</v>
      </c>
      <c r="H13">
        <f>IF(ALL!I10&gt;0,ALL!I10,"")</f>
        <v>116</v>
      </c>
      <c r="I13">
        <f>IF(ALL!J10&gt;0,ALL!J10,"")</f>
        <v>116</v>
      </c>
      <c r="J13">
        <f>IF(ALL!K10&gt;0,ALL!K10,"")</f>
        <v>116</v>
      </c>
      <c r="K13">
        <f>IF(ALL!L10&gt;0,ALL!L10,"")</f>
        <v>116</v>
      </c>
      <c r="L13">
        <f>IF(ALL!M10&gt;0,ALL!M10,"")</f>
        <v>116</v>
      </c>
      <c r="M13">
        <f>IF(ALL!N10&gt;0,ALL!N10,"")</f>
        <v>116</v>
      </c>
      <c r="N13">
        <f>IF(ALL!O10&gt;0,ALL!O10,"")</f>
        <v>116</v>
      </c>
      <c r="O13">
        <f>IF(ALL!P10&gt;0,ALL!P10,"")</f>
        <v>116</v>
      </c>
      <c r="P13">
        <f>IF(ALL!Q10&gt;0,ALL!Q10,"")</f>
        <v>116</v>
      </c>
    </row>
    <row r="14" spans="1:16" x14ac:dyDescent="0.2">
      <c r="A14" t="str">
        <f>IF(ALL!A11&gt;0,ALL!A11,"")</f>
        <v>Plan</v>
      </c>
      <c r="B14">
        <f>IF(ALL!C11&gt;0,ALL!C11,"")</f>
        <v>105</v>
      </c>
      <c r="C14">
        <f>IF(ALL!D11&gt;0,ALL!D11,"")</f>
        <v>111</v>
      </c>
      <c r="D14">
        <f>IF(ALL!E11&gt;0,ALL!E11,"")</f>
        <v>111</v>
      </c>
      <c r="E14">
        <f>IF(ALL!F11&gt;0,ALL!F11,"")</f>
        <v>112</v>
      </c>
      <c r="F14">
        <f>IF(ALL!G11&gt;0,ALL!G11,"")</f>
        <v>113</v>
      </c>
      <c r="G14">
        <f>IF(ALL!H11&gt;0,ALL!H11,"")</f>
        <v>111</v>
      </c>
      <c r="H14">
        <f>IF(ALL!I11&gt;0,ALL!I11,"")</f>
        <v>108</v>
      </c>
      <c r="I14">
        <f>IF(ALL!J11&gt;0,ALL!J11,"")</f>
        <v>105</v>
      </c>
      <c r="J14">
        <f>IF(ALL!K11&gt;0,ALL!K11,"")</f>
        <v>103</v>
      </c>
      <c r="K14">
        <f>IF(ALL!L11&gt;0,ALL!L11,"")</f>
        <v>100</v>
      </c>
      <c r="L14">
        <f>IF(ALL!M11&gt;0,ALL!M11,"")</f>
        <v>99</v>
      </c>
      <c r="M14">
        <f>IF(ALL!N11&gt;0,ALL!N11,"")</f>
        <v>98</v>
      </c>
      <c r="N14">
        <f>IF(ALL!O11&gt;0,ALL!O11,"")</f>
        <v>81</v>
      </c>
      <c r="O14">
        <f>IF(ALL!P11&gt;0,ALL!P11,"")</f>
        <v>81</v>
      </c>
      <c r="P14">
        <f>IF(ALL!Q11&gt;0,ALL!Q11,"")</f>
        <v>81</v>
      </c>
    </row>
    <row r="21" spans="1:16" x14ac:dyDescent="0.2">
      <c r="B21" t="str">
        <f>IF(ALL!C1&gt;0,ALL!C1,"")</f>
        <v>JAN</v>
      </c>
      <c r="C21" t="str">
        <f>IF(ALL!D1&gt;0,ALL!D1,"")</f>
        <v>FEB</v>
      </c>
      <c r="D21" t="str">
        <f>IF(ALL!E1&gt;0,ALL!E1,"")</f>
        <v>MAR</v>
      </c>
      <c r="E21" t="str">
        <f>IF(ALL!F1&gt;0,ALL!F1,"")</f>
        <v>APR</v>
      </c>
      <c r="F21" t="str">
        <f>IF(ALL!G1&gt;0,ALL!G1,"")</f>
        <v>MAY</v>
      </c>
      <c r="G21" t="str">
        <f>IF(ALL!H1&gt;0,ALL!H1,"")</f>
        <v>JUN</v>
      </c>
      <c r="H21" t="str">
        <f>IF(ALL!I1&gt;0,ALL!I1,"")</f>
        <v>JUL</v>
      </c>
      <c r="I21" t="str">
        <f>IF(ALL!J1&gt;0,ALL!J1,"")</f>
        <v>AUG</v>
      </c>
      <c r="J21" t="str">
        <f>IF(ALL!K1&gt;0,ALL!K1,"")</f>
        <v>SEP</v>
      </c>
      <c r="K21" t="str">
        <f>IF(ALL!L1&gt;0,ALL!L1,"")</f>
        <v>OCT</v>
      </c>
      <c r="L21" t="str">
        <f>IF(ALL!M1&gt;0,ALL!M1,"")</f>
        <v>NOV</v>
      </c>
      <c r="M21" t="str">
        <f>IF(ALL!N1&gt;0,ALL!N1,"")</f>
        <v>DEC</v>
      </c>
      <c r="N21" t="str">
        <f>IF(ALL!O1&gt;0,ALL!O1,"")</f>
        <v>JAN'27</v>
      </c>
      <c r="O21" t="str">
        <f>IF(ALL!P1&gt;0,ALL!P1,"")</f>
        <v>FEB'27</v>
      </c>
      <c r="P21" t="str">
        <f>IF(ALL!Q1&gt;0,ALL!Q1,"")</f>
        <v>MAR'27</v>
      </c>
    </row>
    <row r="22" spans="1:16" x14ac:dyDescent="0.2">
      <c r="A22" t="str">
        <f>IF(ALL!A13&gt;0,ALL!A13,"")</f>
        <v>Staff</v>
      </c>
      <c r="B22">
        <f>IF(ALL!C13&gt;0,ALL!C13,"")</f>
        <v>21</v>
      </c>
      <c r="C22">
        <f>IF(ALL!D13&gt;0,ALL!D13,"")</f>
        <v>21</v>
      </c>
      <c r="D22">
        <f>IF(ALL!E13&gt;0,ALL!E13,"")</f>
        <v>21</v>
      </c>
      <c r="E22">
        <f>IF(ALL!F13&gt;0,ALL!F13,"")</f>
        <v>21</v>
      </c>
      <c r="F22">
        <f>IF(ALL!G13&gt;0,ALL!G13,"")</f>
        <v>21</v>
      </c>
      <c r="G22">
        <f>IF(ALL!H13&gt;0,ALL!H13,"")</f>
        <v>21</v>
      </c>
      <c r="H22">
        <f>IF(ALL!I13&gt;0,ALL!I13,"")</f>
        <v>21</v>
      </c>
      <c r="I22">
        <f>IF(ALL!J13&gt;0,ALL!J13,"")</f>
        <v>21</v>
      </c>
      <c r="J22">
        <f>IF(ALL!K13&gt;0,ALL!K13,"")</f>
        <v>21</v>
      </c>
      <c r="K22">
        <f>IF(ALL!L13&gt;0,ALL!L13,"")</f>
        <v>21</v>
      </c>
      <c r="L22">
        <f>IF(ALL!M13&gt;0,ALL!M13,"")</f>
        <v>21</v>
      </c>
      <c r="M22">
        <f>IF(ALL!N13&gt;0,ALL!N13,"")</f>
        <v>21</v>
      </c>
      <c r="N22">
        <f>IF(ALL!O13&gt;0,ALL!O13,"")</f>
        <v>21</v>
      </c>
      <c r="O22">
        <f>IF(ALL!P13&gt;0,ALL!P13,"")</f>
        <v>21</v>
      </c>
      <c r="P22">
        <f>IF(ALL!Q13&gt;0,ALL!Q13,"")</f>
        <v>21</v>
      </c>
    </row>
    <row r="23" spans="1:16" x14ac:dyDescent="0.2">
      <c r="A23" t="str">
        <f>IF(ALL!A14&gt;0,ALL!A14,"")</f>
        <v>Staff AVG</v>
      </c>
      <c r="B23">
        <f>IF(ALL!C14&gt;0,ALL!C14,"")</f>
        <v>21</v>
      </c>
      <c r="C23">
        <f>IF(ALL!D14&gt;0,ALL!D14,"")</f>
        <v>21</v>
      </c>
      <c r="D23">
        <f>IF(ALL!E14&gt;0,ALL!E14,"")</f>
        <v>21</v>
      </c>
      <c r="E23">
        <f>IF(ALL!F14&gt;0,ALL!F14,"")</f>
        <v>21</v>
      </c>
      <c r="F23">
        <f>IF(ALL!G14&gt;0,ALL!G14,"")</f>
        <v>21</v>
      </c>
      <c r="G23">
        <f>IF(ALL!H14&gt;0,ALL!H14,"")</f>
        <v>21</v>
      </c>
      <c r="H23">
        <f>IF(ALL!I14&gt;0,ALL!I14,"")</f>
        <v>21</v>
      </c>
      <c r="I23">
        <f>IF(ALL!J14&gt;0,ALL!J14,"")</f>
        <v>21</v>
      </c>
      <c r="J23">
        <f>IF(ALL!K14&gt;0,ALL!K14,"")</f>
        <v>21</v>
      </c>
      <c r="K23">
        <f>IF(ALL!L14&gt;0,ALL!L14,"")</f>
        <v>21</v>
      </c>
      <c r="L23">
        <f>IF(ALL!M14&gt;0,ALL!M14,"")</f>
        <v>21</v>
      </c>
      <c r="M23">
        <f>IF(ALL!N14&gt;0,ALL!N14,"")</f>
        <v>21</v>
      </c>
      <c r="N23">
        <f>IF(ALL!O14&gt;0,ALL!O14,"")</f>
        <v>21</v>
      </c>
      <c r="O23">
        <f>IF(ALL!P14&gt;0,ALL!P14,"")</f>
        <v>21</v>
      </c>
      <c r="P23">
        <f>IF(ALL!Q14&gt;0,ALL!Q14,"")</f>
        <v>21</v>
      </c>
    </row>
    <row r="24" spans="1:16" x14ac:dyDescent="0.2">
      <c r="A24" t="str">
        <f>IF(ALL!A15&gt;0,ALL!A15,"")</f>
        <v>Plan</v>
      </c>
      <c r="B24">
        <f>IF(ALL!C15&gt;0,ALL!C15,"")</f>
        <v>20</v>
      </c>
      <c r="C24">
        <f>IF(ALL!D15&gt;0,ALL!D15,"")</f>
        <v>20</v>
      </c>
      <c r="D24">
        <f>IF(ALL!E15&gt;0,ALL!E15,"")</f>
        <v>22</v>
      </c>
      <c r="E24">
        <f>IF(ALL!F15&gt;0,ALL!F15,"")</f>
        <v>21</v>
      </c>
      <c r="F24">
        <f>IF(ALL!G15&gt;0,ALL!G15,"")</f>
        <v>21</v>
      </c>
      <c r="G24">
        <f>IF(ALL!H15&gt;0,ALL!H15,"")</f>
        <v>20</v>
      </c>
      <c r="H24">
        <f>IF(ALL!I15&gt;0,ALL!I15,"")</f>
        <v>20</v>
      </c>
      <c r="I24">
        <f>IF(ALL!J15&gt;0,ALL!J15,"")</f>
        <v>20</v>
      </c>
      <c r="J24">
        <f>IF(ALL!K15&gt;0,ALL!K15,"")</f>
        <v>20</v>
      </c>
      <c r="K24">
        <f>IF(ALL!L15&gt;0,ALL!L15,"")</f>
        <v>19</v>
      </c>
      <c r="L24">
        <f>IF(ALL!M15&gt;0,ALL!M15,"")</f>
        <v>19</v>
      </c>
      <c r="M24">
        <f>IF(ALL!N15&gt;0,ALL!N15,"")</f>
        <v>19</v>
      </c>
      <c r="N24">
        <f>IF(ALL!O15&gt;0,ALL!O15,"")</f>
        <v>17</v>
      </c>
      <c r="O24">
        <f>IF(ALL!P15&gt;0,ALL!P15,"")</f>
        <v>17</v>
      </c>
      <c r="P24">
        <f>IF(ALL!Q15&gt;0,ALL!Q15,"")</f>
        <v>17</v>
      </c>
    </row>
    <row r="31" spans="1:16" x14ac:dyDescent="0.2">
      <c r="B31" t="str">
        <f>IF(ALL!C1&gt;0,ALL!C1,"")</f>
        <v>JAN</v>
      </c>
      <c r="C31" t="str">
        <f>IF(ALL!D1&gt;0,ALL!D1,"")</f>
        <v>FEB</v>
      </c>
      <c r="D31" t="str">
        <f>IF(ALL!E1&gt;0,ALL!E1,"")</f>
        <v>MAR</v>
      </c>
      <c r="E31" t="str">
        <f>IF(ALL!F1&gt;0,ALL!F1,"")</f>
        <v>APR</v>
      </c>
      <c r="F31" t="str">
        <f>IF(ALL!G1&gt;0,ALL!G1,"")</f>
        <v>MAY</v>
      </c>
      <c r="G31" t="str">
        <f>IF(ALL!H1&gt;0,ALL!H1,"")</f>
        <v>JUN</v>
      </c>
      <c r="H31" t="str">
        <f>IF(ALL!I1&gt;0,ALL!I1,"")</f>
        <v>JUL</v>
      </c>
      <c r="I31" t="str">
        <f>IF(ALL!J1&gt;0,ALL!J1,"")</f>
        <v>AUG</v>
      </c>
      <c r="J31" t="str">
        <f>IF(ALL!K1&gt;0,ALL!K1,"")</f>
        <v>SEP</v>
      </c>
      <c r="K31" t="str">
        <f>IF(ALL!L1&gt;0,ALL!L1,"")</f>
        <v>OCT</v>
      </c>
      <c r="L31" t="str">
        <f>IF(ALL!M1&gt;0,ALL!M1,"")</f>
        <v>NOV</v>
      </c>
      <c r="M31" t="str">
        <f>IF(ALL!N1&gt;0,ALL!N1,"")</f>
        <v>DEC</v>
      </c>
      <c r="N31" t="str">
        <f>IF(ALL!O1&gt;0,ALL!O1,"")</f>
        <v>JAN'27</v>
      </c>
      <c r="O31" t="str">
        <f>IF(ALL!P1&gt;0,ALL!P1,"")</f>
        <v>FEB'27</v>
      </c>
      <c r="P31" t="str">
        <f>IF(ALL!Q1&gt;0,ALL!Q1,"")</f>
        <v>MAR'27</v>
      </c>
    </row>
    <row r="32" spans="1:16" x14ac:dyDescent="0.2">
      <c r="A32" t="str">
        <f>IF(ALL!A17&gt;0,ALL!A17,"")</f>
        <v>Staff</v>
      </c>
      <c r="B32">
        <f>IF(ALL!C17&gt;0,ALL!C17,"")</f>
        <v>6</v>
      </c>
      <c r="C32">
        <f>IF(ALL!D17&gt;0,ALL!D17,"")</f>
        <v>8</v>
      </c>
      <c r="D32">
        <f>IF(ALL!E17&gt;0,ALL!E17,"")</f>
        <v>10</v>
      </c>
      <c r="E32">
        <f>IF(ALL!F17&gt;0,ALL!F17,"")</f>
        <v>12</v>
      </c>
      <c r="F32">
        <f>IF(ALL!G17&gt;0,ALL!G17,"")</f>
        <v>12</v>
      </c>
      <c r="G32">
        <f>IF(ALL!H17&gt;0,ALL!H17,"")</f>
        <v>12</v>
      </c>
      <c r="H32">
        <f>IF(ALL!I17&gt;0,ALL!I17,"")</f>
        <v>12</v>
      </c>
      <c r="I32">
        <f>IF(ALL!J17&gt;0,ALL!J17,"")</f>
        <v>12</v>
      </c>
      <c r="J32">
        <f>IF(ALL!K17&gt;0,ALL!K17,"")</f>
        <v>12</v>
      </c>
      <c r="K32">
        <f>IF(ALL!L17&gt;0,ALL!L17,"")</f>
        <v>12</v>
      </c>
      <c r="L32">
        <f>IF(ALL!M17&gt;0,ALL!M17,"")</f>
        <v>12</v>
      </c>
      <c r="M32">
        <f>IF(ALL!N17&gt;0,ALL!N17,"")</f>
        <v>12</v>
      </c>
      <c r="N32">
        <f>IF(ALL!O17&gt;0,ALL!O17,"")</f>
        <v>12</v>
      </c>
      <c r="O32">
        <f>IF(ALL!P17&gt;0,ALL!P17,"")</f>
        <v>12</v>
      </c>
      <c r="P32">
        <f>IF(ALL!Q17&gt;0,ALL!Q17,"")</f>
        <v>12</v>
      </c>
    </row>
    <row r="33" spans="1:16" x14ac:dyDescent="0.2">
      <c r="A33" t="str">
        <f>IF(ALL!A18&gt;0,ALL!A18,"")</f>
        <v>Staff AVG</v>
      </c>
      <c r="B33">
        <f>IF(ALL!C18&gt;0,ALL!C18,"")</f>
        <v>11</v>
      </c>
      <c r="C33">
        <f>IF(ALL!D18&gt;0,ALL!D18,"")</f>
        <v>11</v>
      </c>
      <c r="D33">
        <f>IF(ALL!E18&gt;0,ALL!E18,"")</f>
        <v>11</v>
      </c>
      <c r="E33">
        <f>IF(ALL!F18&gt;0,ALL!F18,"")</f>
        <v>11</v>
      </c>
      <c r="F33">
        <f>IF(ALL!G18&gt;0,ALL!G18,"")</f>
        <v>11</v>
      </c>
      <c r="G33">
        <f>IF(ALL!H18&gt;0,ALL!H18,"")</f>
        <v>11</v>
      </c>
      <c r="H33">
        <f>IF(ALL!I18&gt;0,ALL!I18,"")</f>
        <v>11</v>
      </c>
      <c r="I33">
        <f>IF(ALL!J18&gt;0,ALL!J18,"")</f>
        <v>11</v>
      </c>
      <c r="J33">
        <f>IF(ALL!K18&gt;0,ALL!K18,"")</f>
        <v>11</v>
      </c>
      <c r="K33">
        <f>IF(ALL!L18&gt;0,ALL!L18,"")</f>
        <v>11</v>
      </c>
      <c r="L33">
        <f>IF(ALL!M18&gt;0,ALL!M18,"")</f>
        <v>11</v>
      </c>
      <c r="M33">
        <f>IF(ALL!N18&gt;0,ALL!N18,"")</f>
        <v>11</v>
      </c>
      <c r="N33">
        <f>IF(ALL!O18&gt;0,ALL!O18,"")</f>
        <v>11</v>
      </c>
      <c r="O33">
        <f>IF(ALL!P18&gt;0,ALL!P18,"")</f>
        <v>11</v>
      </c>
      <c r="P33">
        <f>IF(ALL!Q18&gt;0,ALL!Q18,"")</f>
        <v>11</v>
      </c>
    </row>
    <row r="34" spans="1:16" x14ac:dyDescent="0.2">
      <c r="A34" t="str">
        <f>IF(ALL!A19&gt;0,ALL!A19,"")</f>
        <v>Plan</v>
      </c>
      <c r="B34">
        <f>IF(ALL!C19&gt;0,ALL!C19,"")</f>
        <v>6</v>
      </c>
      <c r="C34">
        <f>IF(ALL!D19&gt;0,ALL!D19,"")</f>
        <v>8</v>
      </c>
      <c r="D34">
        <f>IF(ALL!E19&gt;0,ALL!E19,"")</f>
        <v>10</v>
      </c>
      <c r="E34">
        <f>IF(ALL!F19&gt;0,ALL!F19,"")</f>
        <v>10</v>
      </c>
      <c r="F34">
        <f>IF(ALL!G19&gt;0,ALL!G19,"")</f>
        <v>12</v>
      </c>
      <c r="G34">
        <f>IF(ALL!H19&gt;0,ALL!H19,"")</f>
        <v>14</v>
      </c>
      <c r="H34">
        <f>IF(ALL!I19&gt;0,ALL!I19,"")</f>
        <v>15</v>
      </c>
      <c r="I34">
        <f>IF(ALL!J19&gt;0,ALL!J19,"")</f>
        <v>15</v>
      </c>
      <c r="J34">
        <f>IF(ALL!K19&gt;0,ALL!K19,"")</f>
        <v>16</v>
      </c>
      <c r="K34">
        <f>IF(ALL!L19&gt;0,ALL!L19,"")</f>
        <v>12</v>
      </c>
      <c r="L34">
        <f>IF(ALL!M19&gt;0,ALL!M19,"")</f>
        <v>12</v>
      </c>
      <c r="M34">
        <f>IF(ALL!N19&gt;0,ALL!N19,"")</f>
        <v>12</v>
      </c>
      <c r="N34">
        <f>IF(ALL!O19&gt;0,ALL!O19,"")</f>
        <v>7</v>
      </c>
      <c r="O34">
        <f>IF(ALL!P19&gt;0,ALL!P19,"")</f>
        <v>7</v>
      </c>
      <c r="P34">
        <f>IF(ALL!Q19&gt;0,ALL!Q19,"")</f>
        <v>7</v>
      </c>
    </row>
    <row r="41" spans="1:16" x14ac:dyDescent="0.2">
      <c r="B41" t="str">
        <f>IF(ALL!C31&gt;0,ALL!C31,"")</f>
        <v>Q1</v>
      </c>
      <c r="C41" t="str">
        <f>IF(ALL!D31&gt;0,ALL!D31,"")</f>
        <v>Q2</v>
      </c>
      <c r="D41" t="str">
        <f>IF(ALL!E31&gt;0,ALL!E31,"")</f>
        <v>Q3</v>
      </c>
      <c r="E41" t="str">
        <f>IF(ALL!F31&gt;0,ALL!F31,"")</f>
        <v>Q4</v>
      </c>
      <c r="F41" t="str">
        <f>IF(ALL!G31&gt;0,ALL!G31,"")</f>
        <v>Q1'27</v>
      </c>
    </row>
    <row r="42" spans="1:16" x14ac:dyDescent="0.2">
      <c r="A42" t="str">
        <f>IF(ALL!B32&gt;0,ALL!B32,"")</f>
        <v>Staff</v>
      </c>
      <c r="B42">
        <f>IF(ALL!C32&gt;0,ALL!C32,"")</f>
        <v>149</v>
      </c>
      <c r="C42">
        <f>IF(ALL!D32&gt;0,ALL!D32,"")</f>
        <v>150</v>
      </c>
      <c r="D42">
        <f>IF(ALL!E32&gt;0,ALL!E32,"")</f>
        <v>149</v>
      </c>
      <c r="E42">
        <f>IF(ALL!F32&gt;0,ALL!F32,"")</f>
        <v>149</v>
      </c>
      <c r="F42">
        <f>IF(ALL!G32&gt;0,ALL!G32,"")</f>
        <v>149</v>
      </c>
    </row>
    <row r="43" spans="1:16" x14ac:dyDescent="0.2">
      <c r="A43" t="str">
        <f>IF(ALL!B33&gt;0,ALL!B33,"")</f>
        <v>Staff AVG</v>
      </c>
      <c r="B43">
        <f>IF(ALL!C33&gt;0,ALL!C33,"")</f>
        <v>149</v>
      </c>
      <c r="C43">
        <f>IF(ALL!D33&gt;0,ALL!D33,"")</f>
        <v>149</v>
      </c>
      <c r="D43">
        <f>IF(ALL!E33&gt;0,ALL!E33,"")</f>
        <v>149</v>
      </c>
      <c r="E43">
        <f>IF(ALL!F33&gt;0,ALL!F33,"")</f>
        <v>149</v>
      </c>
      <c r="F43">
        <f>IF(ALL!G33&gt;0,ALL!G33,"")</f>
        <v>149</v>
      </c>
    </row>
    <row r="44" spans="1:16" x14ac:dyDescent="0.2">
      <c r="A44" t="str">
        <f>IF(ALL!B34&gt;0,ALL!B34,"")</f>
        <v>Plan</v>
      </c>
      <c r="B44">
        <f>IF(ALL!C34&gt;0,ALL!C34,"")</f>
        <v>138</v>
      </c>
      <c r="C44">
        <f>IF(ALL!D34&gt;0,ALL!D34,"")</f>
        <v>145</v>
      </c>
      <c r="D44">
        <f>IF(ALL!E34&gt;0,ALL!E34,"")</f>
        <v>140</v>
      </c>
      <c r="E44">
        <f>IF(ALL!F34&gt;0,ALL!F34,"")</f>
        <v>130</v>
      </c>
      <c r="F44">
        <f>IF(ALL!G34&gt;0,ALL!G34,"")</f>
        <v>121</v>
      </c>
    </row>
    <row r="45" spans="1:16" x14ac:dyDescent="0.2">
      <c r="A45" t="str">
        <f>IF(ALL!B41&gt;0,ALL!B41,"")</f>
        <v>PAYROLL</v>
      </c>
      <c r="B45">
        <f>IF(ALL!C41&gt;0,ALL!C41,"")</f>
        <v>109</v>
      </c>
      <c r="C45">
        <f>IF(ALL!D41&gt;0,ALL!D41,"")</f>
        <v>112</v>
      </c>
      <c r="D45">
        <f>IF(ALL!E41&gt;0,ALL!E41,"")</f>
        <v>105</v>
      </c>
      <c r="E45">
        <f>IF(ALL!F41&gt;0,ALL!F41,"")</f>
        <v>99</v>
      </c>
      <c r="F45">
        <f>IF(ALL!G41&gt;0,ALL!G41,"")</f>
        <v>93</v>
      </c>
    </row>
    <row r="46" spans="1:16" x14ac:dyDescent="0.2">
      <c r="A46" t="str">
        <f>IF(ALL!B45&gt;0,ALL!B45,"")</f>
        <v>CONTRACTOR</v>
      </c>
      <c r="B46">
        <f>IF(ALL!C45&gt;0,ALL!C45,"")</f>
        <v>21</v>
      </c>
      <c r="C46">
        <f>IF(ALL!D45&gt;0,ALL!D45,"")</f>
        <v>21</v>
      </c>
      <c r="D46">
        <f>IF(ALL!E45&gt;0,ALL!E45,"")</f>
        <v>20</v>
      </c>
      <c r="E46">
        <f>IF(ALL!F45&gt;0,ALL!F45,"")</f>
        <v>19</v>
      </c>
      <c r="F46">
        <f>IF(ALL!G45&gt;0,ALL!G45,"")</f>
        <v>18</v>
      </c>
    </row>
    <row r="47" spans="1:16" x14ac:dyDescent="0.2">
      <c r="A47" t="str">
        <f>IF(ALL!B49&gt;0,ALL!B49,"")</f>
        <v>OUTSOURCE</v>
      </c>
      <c r="B47">
        <f>IF(ALL!C49&gt;0,ALL!C49,"")</f>
        <v>8</v>
      </c>
      <c r="C47">
        <f>IF(ALL!D49&gt;0,ALL!D49,"")</f>
        <v>12</v>
      </c>
      <c r="D47">
        <f>IF(ALL!E49&gt;0,ALL!E49,"")</f>
        <v>15</v>
      </c>
      <c r="E47">
        <f>IF(ALL!F49&gt;0,ALL!F49,"")</f>
        <v>12</v>
      </c>
      <c r="F47">
        <f>IF(ALL!G49&gt;0,ALL!G49,"")</f>
        <v>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D1181-445D-3746-9BD8-A2C1C6213A7C}">
  <sheetPr>
    <tabColor theme="5"/>
  </sheetPr>
  <dimension ref="A1:Q49"/>
  <sheetViews>
    <sheetView topLeftCell="A38" workbookViewId="0">
      <selection activeCell="E46" sqref="E46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31</v>
      </c>
      <c r="B2" s="7" t="s">
        <v>16</v>
      </c>
      <c r="C2" s="8">
        <v>18</v>
      </c>
      <c r="D2" s="8">
        <v>18</v>
      </c>
      <c r="E2" s="8">
        <v>18</v>
      </c>
      <c r="F2" s="8">
        <v>17</v>
      </c>
      <c r="G2" s="8">
        <v>17</v>
      </c>
      <c r="H2" s="8">
        <v>17</v>
      </c>
      <c r="I2" s="8">
        <v>17</v>
      </c>
      <c r="J2" s="8">
        <v>17</v>
      </c>
      <c r="K2" s="8">
        <v>17</v>
      </c>
      <c r="L2" s="8">
        <v>17</v>
      </c>
      <c r="M2" s="8">
        <v>17</v>
      </c>
      <c r="N2" s="8">
        <v>17</v>
      </c>
      <c r="O2" s="8">
        <v>17</v>
      </c>
      <c r="P2" s="8">
        <v>17</v>
      </c>
      <c r="Q2" s="8">
        <v>17</v>
      </c>
    </row>
    <row r="3" spans="1:17" x14ac:dyDescent="0.2">
      <c r="A3" s="12" t="s">
        <v>31</v>
      </c>
      <c r="B3" s="9" t="s">
        <v>17</v>
      </c>
      <c r="C3" s="8">
        <v>17</v>
      </c>
      <c r="D3" s="8">
        <v>17</v>
      </c>
      <c r="E3" s="8">
        <v>17</v>
      </c>
      <c r="F3" s="8">
        <v>17</v>
      </c>
      <c r="G3" s="8">
        <v>17</v>
      </c>
      <c r="H3" s="8">
        <v>17</v>
      </c>
      <c r="I3" s="8">
        <v>17</v>
      </c>
      <c r="J3" s="8">
        <v>17</v>
      </c>
      <c r="K3" s="8">
        <v>17</v>
      </c>
      <c r="L3" s="8">
        <v>17</v>
      </c>
      <c r="M3" s="8">
        <v>17</v>
      </c>
      <c r="N3" s="8">
        <v>17</v>
      </c>
      <c r="O3" s="8">
        <v>17</v>
      </c>
      <c r="P3" s="8">
        <v>17</v>
      </c>
      <c r="Q3" s="8">
        <v>17</v>
      </c>
    </row>
    <row r="4" spans="1:17" x14ac:dyDescent="0.2">
      <c r="A4" s="13" t="s">
        <v>31</v>
      </c>
      <c r="B4" s="10" t="s">
        <v>18</v>
      </c>
      <c r="C4" s="8">
        <v>17</v>
      </c>
      <c r="D4" s="8">
        <v>17</v>
      </c>
      <c r="E4" s="8">
        <v>17</v>
      </c>
      <c r="F4" s="14">
        <v>17</v>
      </c>
      <c r="G4" s="14">
        <v>18</v>
      </c>
      <c r="H4" s="14">
        <v>17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14</v>
      </c>
      <c r="P4" s="8">
        <v>14</v>
      </c>
      <c r="Q4" s="8">
        <v>14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0.93610000000000004</v>
      </c>
      <c r="D6" s="19">
        <v>0.94169999999999998</v>
      </c>
      <c r="E6" s="19">
        <v>0.92500000000000004</v>
      </c>
      <c r="F6" s="19">
        <v>1.0235000000000001</v>
      </c>
      <c r="G6" s="19">
        <v>1.0294000000000001</v>
      </c>
      <c r="H6" s="19">
        <v>1.0235000000000001</v>
      </c>
      <c r="I6" s="19">
        <v>0.95289999999999997</v>
      </c>
      <c r="J6" s="19">
        <v>0.94120000000000004</v>
      </c>
      <c r="K6" s="19">
        <v>0.94120000000000004</v>
      </c>
      <c r="L6" s="19">
        <v>0.93530000000000002</v>
      </c>
      <c r="M6" s="19">
        <v>0.92349999999999999</v>
      </c>
      <c r="N6" s="19">
        <v>0.92349999999999999</v>
      </c>
      <c r="O6" s="19">
        <v>0.83530000000000004</v>
      </c>
      <c r="P6" s="19">
        <v>0.83530000000000004</v>
      </c>
      <c r="Q6" s="19">
        <v>0.83530000000000004</v>
      </c>
    </row>
    <row r="7" spans="1:17" x14ac:dyDescent="0.2">
      <c r="A7" s="17"/>
      <c r="B7" s="18" t="s">
        <v>24</v>
      </c>
      <c r="C7" s="20">
        <v>1</v>
      </c>
      <c r="D7" s="20">
        <v>1</v>
      </c>
      <c r="E7" s="20">
        <v>1</v>
      </c>
      <c r="F7" s="20">
        <v>0</v>
      </c>
      <c r="G7" s="20">
        <v>0</v>
      </c>
      <c r="H7" s="20">
        <v>0</v>
      </c>
      <c r="I7" s="20">
        <v>1</v>
      </c>
      <c r="J7" s="20">
        <v>1</v>
      </c>
      <c r="K7" s="20">
        <v>1</v>
      </c>
      <c r="L7" s="20">
        <v>1</v>
      </c>
      <c r="M7" s="20">
        <v>1</v>
      </c>
      <c r="N7" s="20">
        <v>1</v>
      </c>
      <c r="O7" s="20">
        <v>3</v>
      </c>
      <c r="P7" s="20">
        <v>3</v>
      </c>
      <c r="Q7" s="20">
        <v>3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18</v>
      </c>
      <c r="D9" s="8">
        <v>18</v>
      </c>
      <c r="E9" s="8">
        <v>18</v>
      </c>
      <c r="F9" s="8">
        <v>17</v>
      </c>
      <c r="G9" s="8">
        <v>17</v>
      </c>
      <c r="H9" s="8">
        <v>17</v>
      </c>
      <c r="I9" s="8">
        <v>17</v>
      </c>
      <c r="J9" s="8">
        <v>17</v>
      </c>
      <c r="K9" s="8">
        <v>17</v>
      </c>
      <c r="L9" s="8">
        <v>17</v>
      </c>
      <c r="M9" s="8">
        <v>17</v>
      </c>
      <c r="N9" s="8">
        <v>17</v>
      </c>
      <c r="O9" s="8">
        <v>17</v>
      </c>
      <c r="P9" s="8">
        <v>17</v>
      </c>
      <c r="Q9" s="8">
        <v>17</v>
      </c>
    </row>
    <row r="10" spans="1:17" x14ac:dyDescent="0.2">
      <c r="A10" s="9" t="s">
        <v>17</v>
      </c>
      <c r="B10" s="12" t="s">
        <v>19</v>
      </c>
      <c r="C10" s="8">
        <v>17</v>
      </c>
      <c r="D10" s="8">
        <v>17</v>
      </c>
      <c r="E10" s="8">
        <v>17</v>
      </c>
      <c r="F10" s="8">
        <v>17</v>
      </c>
      <c r="G10" s="8">
        <v>17</v>
      </c>
      <c r="H10" s="8">
        <v>17</v>
      </c>
      <c r="I10" s="8">
        <v>17</v>
      </c>
      <c r="J10" s="8">
        <v>17</v>
      </c>
      <c r="K10" s="8">
        <v>17</v>
      </c>
      <c r="L10" s="8">
        <v>17</v>
      </c>
      <c r="M10" s="8">
        <v>17</v>
      </c>
      <c r="N10" s="8">
        <v>17</v>
      </c>
      <c r="O10" s="8">
        <v>17</v>
      </c>
      <c r="P10" s="8">
        <v>17</v>
      </c>
      <c r="Q10" s="8">
        <v>17</v>
      </c>
    </row>
    <row r="11" spans="1:17" x14ac:dyDescent="0.2">
      <c r="A11" s="16" t="s">
        <v>18</v>
      </c>
      <c r="B11" s="13" t="s">
        <v>19</v>
      </c>
      <c r="C11" s="8">
        <v>17</v>
      </c>
      <c r="D11" s="8">
        <v>17</v>
      </c>
      <c r="E11" s="8">
        <v>17</v>
      </c>
      <c r="F11" s="14">
        <v>17</v>
      </c>
      <c r="G11" s="14">
        <v>18</v>
      </c>
      <c r="H11" s="14">
        <v>17</v>
      </c>
      <c r="I11" s="8">
        <v>16</v>
      </c>
      <c r="J11" s="8">
        <v>16</v>
      </c>
      <c r="K11" s="8">
        <v>16</v>
      </c>
      <c r="L11" s="8">
        <v>16</v>
      </c>
      <c r="M11" s="8">
        <v>16</v>
      </c>
      <c r="N11" s="8">
        <v>16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31</v>
      </c>
      <c r="B32" s="7" t="s">
        <v>16</v>
      </c>
      <c r="C32" s="26">
        <v>18</v>
      </c>
      <c r="D32" s="21">
        <v>17</v>
      </c>
      <c r="E32" s="21">
        <v>17</v>
      </c>
      <c r="F32" s="21">
        <v>17</v>
      </c>
      <c r="G32" s="21">
        <v>17</v>
      </c>
    </row>
    <row r="33" spans="1:7" x14ac:dyDescent="0.2">
      <c r="A33" s="12" t="s">
        <v>31</v>
      </c>
      <c r="B33" s="9" t="s">
        <v>17</v>
      </c>
      <c r="C33" s="26">
        <v>17</v>
      </c>
      <c r="D33" s="21">
        <v>17</v>
      </c>
      <c r="E33" s="21">
        <v>17</v>
      </c>
      <c r="F33" s="21">
        <v>17</v>
      </c>
      <c r="G33" s="21">
        <v>17</v>
      </c>
    </row>
    <row r="34" spans="1:7" x14ac:dyDescent="0.2">
      <c r="A34" s="13" t="s">
        <v>31</v>
      </c>
      <c r="B34" s="10" t="s">
        <v>18</v>
      </c>
      <c r="C34" s="26">
        <v>17</v>
      </c>
      <c r="D34" s="14">
        <v>17</v>
      </c>
      <c r="E34" s="21">
        <v>16</v>
      </c>
      <c r="F34" s="21">
        <v>16</v>
      </c>
      <c r="G34" s="21">
        <v>15</v>
      </c>
    </row>
    <row r="35" spans="1:7" x14ac:dyDescent="0.2">
      <c r="A35" s="17"/>
      <c r="B35" s="8"/>
      <c r="C35" s="27">
        <v>6.5699999999999995E-2</v>
      </c>
      <c r="D35" s="28">
        <v>-2.5499999999999998E-2</v>
      </c>
      <c r="E35" s="28">
        <v>5.4899999999999997E-2</v>
      </c>
      <c r="F35" s="28">
        <v>7.2499999999999995E-2</v>
      </c>
      <c r="G35" s="28">
        <v>0.10589999999999999</v>
      </c>
    </row>
    <row r="36" spans="1:7" x14ac:dyDescent="0.2">
      <c r="A36" s="8"/>
      <c r="B36" s="18" t="s">
        <v>23</v>
      </c>
      <c r="C36" s="29">
        <v>0.93430000000000002</v>
      </c>
      <c r="D36" s="19">
        <v>1.0255000000000001</v>
      </c>
      <c r="E36" s="19">
        <v>0.94510000000000005</v>
      </c>
      <c r="F36" s="19">
        <v>0.92749999999999999</v>
      </c>
      <c r="G36" s="19">
        <v>0.89410000000000001</v>
      </c>
    </row>
    <row r="37" spans="1:7" x14ac:dyDescent="0.2">
      <c r="A37" s="17"/>
      <c r="B37" s="18" t="s">
        <v>24</v>
      </c>
      <c r="C37" s="30">
        <v>1</v>
      </c>
      <c r="D37" s="20">
        <v>0</v>
      </c>
      <c r="E37" s="20">
        <v>1</v>
      </c>
      <c r="F37" s="20">
        <v>1</v>
      </c>
      <c r="G37" s="20">
        <v>2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18</v>
      </c>
      <c r="D39" s="21">
        <v>17</v>
      </c>
      <c r="E39" s="21">
        <v>17</v>
      </c>
      <c r="F39" s="21">
        <v>17</v>
      </c>
      <c r="G39" s="21">
        <v>17</v>
      </c>
    </row>
    <row r="40" spans="1:7" x14ac:dyDescent="0.2">
      <c r="A40" s="9" t="s">
        <v>17</v>
      </c>
      <c r="B40" s="12" t="s">
        <v>19</v>
      </c>
      <c r="C40" s="26">
        <v>17</v>
      </c>
      <c r="D40" s="21">
        <v>17</v>
      </c>
      <c r="E40" s="21">
        <v>17</v>
      </c>
      <c r="F40" s="21">
        <v>17</v>
      </c>
      <c r="G40" s="21">
        <v>17</v>
      </c>
    </row>
    <row r="41" spans="1:7" x14ac:dyDescent="0.2">
      <c r="A41" s="16" t="s">
        <v>18</v>
      </c>
      <c r="B41" s="13" t="s">
        <v>19</v>
      </c>
      <c r="C41" s="26">
        <v>17</v>
      </c>
      <c r="D41" s="14">
        <v>17</v>
      </c>
      <c r="E41" s="21">
        <v>16</v>
      </c>
      <c r="F41" s="21">
        <v>16</v>
      </c>
      <c r="G41" s="21">
        <v>15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85D5-E47B-3A4D-A324-92EE24F74B47}">
  <sheetPr>
    <tabColor theme="5" tint="0.79998168889431442"/>
  </sheetPr>
  <dimension ref="A1:P47"/>
  <sheetViews>
    <sheetView workbookViewId="0">
      <selection activeCell="A32" sqref="A32:A3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IF(CPS!C1&gt;0,CPS!C1,"")</f>
        <v>JAN</v>
      </c>
      <c r="C1" t="str">
        <f>IF(CPS!D1&gt;0,CPS!D1,"")</f>
        <v>FEB</v>
      </c>
      <c r="D1" t="str">
        <f>IF(CPS!E1&gt;0,CPS!E1,"")</f>
        <v>MAR</v>
      </c>
      <c r="E1" t="str">
        <f>IF(CPS!F1&gt;0,CPS!F1,"")</f>
        <v>APR</v>
      </c>
      <c r="F1" t="str">
        <f>IF(CPS!G1&gt;0,CPS!G1,"")</f>
        <v>MAY</v>
      </c>
      <c r="G1" t="str">
        <f>IF(CPS!H1&gt;0,CPS!H1,"")</f>
        <v>JUN</v>
      </c>
      <c r="H1" t="str">
        <f>IF(CPS!I1&gt;0,CPS!I1,"")</f>
        <v>JUL</v>
      </c>
      <c r="I1" t="str">
        <f>IF(CPS!J1&gt;0,CPS!J1,"")</f>
        <v>AUG</v>
      </c>
      <c r="J1" t="str">
        <f>IF(CPS!K1&gt;0,CPS!K1,"")</f>
        <v>SEP</v>
      </c>
      <c r="K1" t="str">
        <f>IF(CPS!L1&gt;0,CPS!L1,"")</f>
        <v>OCT</v>
      </c>
      <c r="L1" t="str">
        <f>IF(CPS!M1&gt;0,CPS!M1,"")</f>
        <v>NOV</v>
      </c>
      <c r="M1" t="str">
        <f>IF(CPS!N1&gt;0,CPS!N1,"")</f>
        <v>DEC</v>
      </c>
      <c r="N1" t="str">
        <f>IF(CPS!O1&gt;0,CPS!O1,"")</f>
        <v>JAN'27</v>
      </c>
      <c r="O1" t="str">
        <f>IF(CPS!P1&gt;0,CPS!P1,"")</f>
        <v>FEB'27</v>
      </c>
      <c r="P1" t="str">
        <f>IF(CPS!Q1&gt;0,CPS!Q1,"")</f>
        <v>MAR'27</v>
      </c>
    </row>
    <row r="2" spans="1:16" x14ac:dyDescent="0.2">
      <c r="A2" t="str">
        <f>IF(CPS!B2&gt;0,CPS!B2,"")</f>
        <v>Staff</v>
      </c>
      <c r="B2">
        <f>IF(CPS!C2&gt;0,CPS!C2,"")</f>
        <v>18</v>
      </c>
      <c r="C2">
        <f>IF(CPS!D2&gt;0,CPS!D2,"")</f>
        <v>18</v>
      </c>
      <c r="D2">
        <f>IF(CPS!E2&gt;0,CPS!E2,"")</f>
        <v>18</v>
      </c>
      <c r="E2">
        <f>IF(CPS!F2&gt;0,CPS!F2,"")</f>
        <v>17</v>
      </c>
      <c r="F2">
        <f>IF(CPS!G2&gt;0,CPS!G2,"")</f>
        <v>17</v>
      </c>
      <c r="G2">
        <f>IF(CPS!H2&gt;0,CPS!H2,"")</f>
        <v>17</v>
      </c>
      <c r="H2">
        <f>IF(CPS!I2&gt;0,CPS!I2,"")</f>
        <v>17</v>
      </c>
      <c r="I2">
        <f>IF(CPS!J2&gt;0,CPS!J2,"")</f>
        <v>17</v>
      </c>
      <c r="J2">
        <f>IF(CPS!K2&gt;0,CPS!K2,"")</f>
        <v>17</v>
      </c>
      <c r="K2">
        <f>IF(CPS!L2&gt;0,CPS!L2,"")</f>
        <v>17</v>
      </c>
      <c r="L2">
        <f>IF(CPS!M2&gt;0,CPS!M2,"")</f>
        <v>17</v>
      </c>
      <c r="M2">
        <f>IF(CPS!N2&gt;0,CPS!N2,"")</f>
        <v>17</v>
      </c>
      <c r="N2">
        <f>IF(CPS!O2&gt;0,CPS!O2,"")</f>
        <v>17</v>
      </c>
      <c r="O2">
        <f>IF(CPS!P2&gt;0,CPS!P2,"")</f>
        <v>17</v>
      </c>
      <c r="P2">
        <f>IF(CPS!Q2&gt;0,CPS!Q2,"")</f>
        <v>17</v>
      </c>
    </row>
    <row r="3" spans="1:16" x14ac:dyDescent="0.2">
      <c r="A3" t="str">
        <f>IF(CPS!B3&gt;0,CPS!B3,"")</f>
        <v>Staff AVG</v>
      </c>
      <c r="B3">
        <f>IF(CPS!C3&gt;0,CPS!C3,"")</f>
        <v>17</v>
      </c>
      <c r="C3">
        <f>IF(CPS!D3&gt;0,CPS!D3,"")</f>
        <v>17</v>
      </c>
      <c r="D3">
        <f>IF(CPS!E3&gt;0,CPS!E3,"")</f>
        <v>17</v>
      </c>
      <c r="E3">
        <f>IF(CPS!F3&gt;0,CPS!F3,"")</f>
        <v>17</v>
      </c>
      <c r="F3">
        <f>IF(CPS!G3&gt;0,CPS!G3,"")</f>
        <v>17</v>
      </c>
      <c r="G3">
        <f>IF(CPS!H3&gt;0,CPS!H3,"")</f>
        <v>17</v>
      </c>
      <c r="H3">
        <f>IF(CPS!I3&gt;0,CPS!I3,"")</f>
        <v>17</v>
      </c>
      <c r="I3">
        <f>IF(CPS!J3&gt;0,CPS!J3,"")</f>
        <v>17</v>
      </c>
      <c r="J3">
        <f>IF(CPS!K3&gt;0,CPS!K3,"")</f>
        <v>17</v>
      </c>
      <c r="K3">
        <f>IF(CPS!L3&gt;0,CPS!L3,"")</f>
        <v>17</v>
      </c>
      <c r="L3">
        <f>IF(CPS!M3&gt;0,CPS!M3,"")</f>
        <v>17</v>
      </c>
      <c r="M3">
        <f>IF(CPS!N3&gt;0,CPS!N3,"")</f>
        <v>17</v>
      </c>
      <c r="N3">
        <f>IF(CPS!O3&gt;0,CPS!O3,"")</f>
        <v>17</v>
      </c>
      <c r="O3">
        <f>IF(CPS!P3&gt;0,CPS!P3,"")</f>
        <v>17</v>
      </c>
      <c r="P3">
        <f>IF(CPS!Q3&gt;0,CPS!Q3,"")</f>
        <v>17</v>
      </c>
    </row>
    <row r="4" spans="1:16" x14ac:dyDescent="0.2">
      <c r="A4" t="str">
        <f>IF(CPS!B4&gt;0,CPS!B4,"")</f>
        <v>Plan</v>
      </c>
      <c r="B4">
        <f>IF(CPS!C4&gt;0,CPS!C4,"")</f>
        <v>17</v>
      </c>
      <c r="C4">
        <f>IF(CPS!D4&gt;0,CPS!D4,"")</f>
        <v>17</v>
      </c>
      <c r="D4">
        <f>IF(CPS!E4&gt;0,CPS!E4,"")</f>
        <v>17</v>
      </c>
      <c r="E4">
        <f>IF(CPS!F4&gt;0,CPS!F4,"")</f>
        <v>17</v>
      </c>
      <c r="F4">
        <f>IF(CPS!G4&gt;0,CPS!G4,"")</f>
        <v>18</v>
      </c>
      <c r="G4">
        <f>IF(CPS!H4&gt;0,CPS!H4,"")</f>
        <v>17</v>
      </c>
      <c r="H4">
        <f>IF(CPS!I4&gt;0,CPS!I4,"")</f>
        <v>16</v>
      </c>
      <c r="I4">
        <f>IF(CPS!J4&gt;0,CPS!J4,"")</f>
        <v>16</v>
      </c>
      <c r="J4">
        <f>IF(CPS!K4&gt;0,CPS!K4,"")</f>
        <v>16</v>
      </c>
      <c r="K4">
        <f>IF(CPS!L4&gt;0,CPS!L4,"")</f>
        <v>16</v>
      </c>
      <c r="L4">
        <f>IF(CPS!M4&gt;0,CPS!M4,"")</f>
        <v>16</v>
      </c>
      <c r="M4">
        <f>IF(CPS!N4&gt;0,CPS!N4,"")</f>
        <v>16</v>
      </c>
      <c r="N4">
        <f>IF(CPS!O4&gt;0,CPS!O4,"")</f>
        <v>14</v>
      </c>
      <c r="O4">
        <f>IF(CPS!P4&gt;0,CPS!P4,"")</f>
        <v>14</v>
      </c>
      <c r="P4">
        <f>IF(CPS!Q4&gt;0,CPS!Q4,"")</f>
        <v>14</v>
      </c>
    </row>
    <row r="5" spans="1:16" x14ac:dyDescent="0.2">
      <c r="A5" t="str">
        <f>IF(CPS!B11&gt;0,CPS!B11,"")</f>
        <v>PAYROLL</v>
      </c>
      <c r="B5">
        <f>IF(CPS!C11&gt;0,CPS!C11,"")</f>
        <v>17</v>
      </c>
      <c r="C5">
        <f>IF(CPS!D11&gt;0,CPS!D11,"")</f>
        <v>17</v>
      </c>
      <c r="D5">
        <f>IF(CPS!E11&gt;0,CPS!E11,"")</f>
        <v>17</v>
      </c>
      <c r="E5">
        <f>IF(CPS!F11&gt;0,CPS!F11,"")</f>
        <v>17</v>
      </c>
      <c r="F5">
        <f>IF(CPS!G11&gt;0,CPS!G11,"")</f>
        <v>18</v>
      </c>
      <c r="G5">
        <f>IF(CPS!H11&gt;0,CPS!H11,"")</f>
        <v>17</v>
      </c>
      <c r="H5">
        <f>IF(CPS!I11&gt;0,CPS!I11,"")</f>
        <v>16</v>
      </c>
      <c r="I5">
        <f>IF(CPS!J11&gt;0,CPS!J11,"")</f>
        <v>16</v>
      </c>
      <c r="J5">
        <f>IF(CPS!K11&gt;0,CPS!K11,"")</f>
        <v>16</v>
      </c>
      <c r="K5">
        <f>IF(CPS!L11&gt;0,CPS!L11,"")</f>
        <v>16</v>
      </c>
      <c r="L5">
        <f>IF(CPS!M11&gt;0,CPS!M11,"")</f>
        <v>16</v>
      </c>
      <c r="M5">
        <f>IF(CPS!N11&gt;0,CPS!N11,"")</f>
        <v>16</v>
      </c>
      <c r="N5">
        <f>IF(CPS!O11&gt;0,CPS!O11,"")</f>
        <v>14</v>
      </c>
      <c r="O5">
        <f>IF(CPS!P11&gt;0,CPS!P11,"")</f>
        <v>14</v>
      </c>
      <c r="P5">
        <f>IF(CPS!Q11&gt;0,CPS!Q11,"")</f>
        <v>14</v>
      </c>
    </row>
    <row r="6" spans="1:16" x14ac:dyDescent="0.2">
      <c r="A6" t="str">
        <f>IF(CPS!B15&gt;0,CPS!B15,"")</f>
        <v>CONTRACTOR</v>
      </c>
      <c r="B6" t="str">
        <f>IF(CPS!C15&gt;0,CPS!C15,"")</f>
        <v/>
      </c>
      <c r="C6" t="str">
        <f>IF(CPS!D15&gt;0,CPS!D15,"")</f>
        <v/>
      </c>
      <c r="D6" t="str">
        <f>IF(CPS!E15&gt;0,CPS!E15,"")</f>
        <v/>
      </c>
      <c r="E6" t="str">
        <f>IF(CPS!F15&gt;0,CPS!F15,"")</f>
        <v/>
      </c>
      <c r="F6" t="str">
        <f>IF(CPS!G15&gt;0,CPS!G15,"")</f>
        <v/>
      </c>
      <c r="G6" t="str">
        <f>IF(CPS!H15&gt;0,CPS!H15,"")</f>
        <v/>
      </c>
      <c r="H6" t="str">
        <f>IF(CPS!I15&gt;0,CPS!I15,"")</f>
        <v/>
      </c>
      <c r="I6" t="str">
        <f>IF(CPS!J15&gt;0,CPS!J15,"")</f>
        <v/>
      </c>
      <c r="J6" t="str">
        <f>IF(CPS!K15&gt;0,CPS!K15,"")</f>
        <v/>
      </c>
      <c r="K6" t="str">
        <f>IF(CPS!L15&gt;0,CPS!L15,"")</f>
        <v/>
      </c>
      <c r="L6" t="str">
        <f>IF(CPS!M15&gt;0,CPS!M15,"")</f>
        <v/>
      </c>
      <c r="M6" t="str">
        <f>IF(CPS!N15&gt;0,CPS!N15,"")</f>
        <v/>
      </c>
      <c r="N6" t="str">
        <f>IF(CPS!O15&gt;0,CPS!O15,"")</f>
        <v/>
      </c>
      <c r="O6" t="str">
        <f>IF(CPS!P15&gt;0,CPS!P15,"")</f>
        <v/>
      </c>
      <c r="P6" t="str">
        <f>IF(CPS!Q15&gt;0,CPS!Q15,"")</f>
        <v/>
      </c>
    </row>
    <row r="7" spans="1:16" x14ac:dyDescent="0.2">
      <c r="A7" t="str">
        <f>IF(CPS!B19&gt;0,CPS!B19,"")</f>
        <v>OUTSOURCE</v>
      </c>
      <c r="B7" t="str">
        <f>IF(CPS!C19&gt;0,CPS!C19,"")</f>
        <v/>
      </c>
      <c r="C7" t="str">
        <f>IF(CPS!D19&gt;0,CPS!D19,"")</f>
        <v/>
      </c>
      <c r="D7" t="str">
        <f>IF(CPS!E19&gt;0,CPS!E19,"")</f>
        <v/>
      </c>
      <c r="E7" t="str">
        <f>IF(CPS!F19&gt;0,CPS!F19,"")</f>
        <v/>
      </c>
      <c r="F7" t="str">
        <f>IF(CPS!G19&gt;0,CPS!G19,"")</f>
        <v/>
      </c>
      <c r="G7" t="str">
        <f>IF(CPS!H19&gt;0,CPS!H19,"")</f>
        <v/>
      </c>
      <c r="H7" t="str">
        <f>IF(CPS!I19&gt;0,CPS!I19,"")</f>
        <v/>
      </c>
      <c r="I7" t="str">
        <f>IF(CPS!J19&gt;0,CPS!J19,"")</f>
        <v/>
      </c>
      <c r="J7" t="str">
        <f>IF(CPS!K19&gt;0,CPS!K19,"")</f>
        <v/>
      </c>
      <c r="K7" t="str">
        <f>IF(CPS!L19&gt;0,CPS!L19,"")</f>
        <v/>
      </c>
      <c r="L7" t="str">
        <f>IF(CPS!M19&gt;0,CPS!M19,"")</f>
        <v/>
      </c>
      <c r="M7" t="str">
        <f>IF(CPS!N19&gt;0,CPS!N19,"")</f>
        <v/>
      </c>
      <c r="N7" t="str">
        <f>IF(CPS!O19&gt;0,CPS!O19,"")</f>
        <v/>
      </c>
      <c r="O7" t="str">
        <f>IF(CPS!P19&gt;0,CPS!P19,"")</f>
        <v/>
      </c>
      <c r="P7" t="str">
        <f>IF(CPS!Q19&gt;0,CPS!Q19,"")</f>
        <v/>
      </c>
    </row>
    <row r="11" spans="1:16" x14ac:dyDescent="0.2">
      <c r="B11" t="str">
        <f>IF(CPS!C1&gt;0,CPS!C1,"")</f>
        <v>JAN</v>
      </c>
      <c r="C11" t="str">
        <f>IF(CPS!D1&gt;0,CPS!D1,"")</f>
        <v>FEB</v>
      </c>
      <c r="D11" t="str">
        <f>IF(CPS!E1&gt;0,CPS!E1,"")</f>
        <v>MAR</v>
      </c>
      <c r="E11" t="str">
        <f>IF(CPS!F1&gt;0,CPS!F1,"")</f>
        <v>APR</v>
      </c>
      <c r="F11" t="str">
        <f>IF(CPS!G1&gt;0,CPS!G1,"")</f>
        <v>MAY</v>
      </c>
      <c r="G11" t="str">
        <f>IF(CPS!H1&gt;0,CPS!H1,"")</f>
        <v>JUN</v>
      </c>
      <c r="H11" t="str">
        <f>IF(CPS!I1&gt;0,CPS!I1,"")</f>
        <v>JUL</v>
      </c>
      <c r="I11" t="str">
        <f>IF(CPS!J1&gt;0,CPS!J1,"")</f>
        <v>AUG</v>
      </c>
      <c r="J11" t="str">
        <f>IF(CPS!K1&gt;0,CPS!K1,"")</f>
        <v>SEP</v>
      </c>
      <c r="K11" t="str">
        <f>IF(CPS!L1&gt;0,CPS!L1,"")</f>
        <v>OCT</v>
      </c>
      <c r="L11" t="str">
        <f>IF(CPS!M1&gt;0,CPS!M1,"")</f>
        <v>NOV</v>
      </c>
      <c r="M11" t="str">
        <f>IF(CPS!N1&gt;0,CPS!N1,"")</f>
        <v>DEC</v>
      </c>
      <c r="N11" t="str">
        <f>IF(CPS!O1&gt;0,CPS!O1,"")</f>
        <v>JAN'27</v>
      </c>
      <c r="O11" t="str">
        <f>IF(CPS!P1&gt;0,CPS!P1,"")</f>
        <v>FEB'27</v>
      </c>
      <c r="P11" t="str">
        <f>IF(CPS!Q1&gt;0,CPS!Q1,"")</f>
        <v>MAR'27</v>
      </c>
    </row>
    <row r="12" spans="1:16" x14ac:dyDescent="0.2">
      <c r="A12" t="str">
        <f>IF(CPS!B2&gt;0,CPS!B2,"")</f>
        <v>Staff</v>
      </c>
      <c r="B12">
        <f>IF(CPS!C9&gt;0,CPS!C9,"")</f>
        <v>18</v>
      </c>
      <c r="C12">
        <f>IF(CPS!D9&gt;0,CPS!D9,"")</f>
        <v>18</v>
      </c>
      <c r="D12">
        <f>IF(CPS!E9&gt;0,CPS!E9,"")</f>
        <v>18</v>
      </c>
      <c r="E12">
        <f>IF(CPS!F9&gt;0,CPS!F9,"")</f>
        <v>17</v>
      </c>
      <c r="F12">
        <f>IF(CPS!G9&gt;0,CPS!G9,"")</f>
        <v>17</v>
      </c>
      <c r="G12">
        <f>IF(CPS!H9&gt;0,CPS!H9,"")</f>
        <v>17</v>
      </c>
      <c r="H12">
        <f>IF(CPS!I9&gt;0,CPS!I9,"")</f>
        <v>17</v>
      </c>
      <c r="I12">
        <f>IF(CPS!J9&gt;0,CPS!J9,"")</f>
        <v>17</v>
      </c>
      <c r="J12">
        <f>IF(CPS!K9&gt;0,CPS!K9,"")</f>
        <v>17</v>
      </c>
      <c r="K12">
        <f>IF(CPS!L9&gt;0,CPS!L9,"")</f>
        <v>17</v>
      </c>
      <c r="L12">
        <f>IF(CPS!M9&gt;0,CPS!M9,"")</f>
        <v>17</v>
      </c>
      <c r="M12">
        <f>IF(CPS!N9&gt;0,CPS!N9,"")</f>
        <v>17</v>
      </c>
      <c r="N12">
        <f>IF(CPS!O9&gt;0,CPS!O9,"")</f>
        <v>17</v>
      </c>
      <c r="O12">
        <f>IF(CPS!P9&gt;0,CPS!P9,"")</f>
        <v>17</v>
      </c>
      <c r="P12">
        <f>IF(CPS!Q9&gt;0,CPS!Q9,"")</f>
        <v>17</v>
      </c>
    </row>
    <row r="13" spans="1:16" x14ac:dyDescent="0.2">
      <c r="A13" t="str">
        <f>IF(CPS!B3&gt;0,CPS!B3,"")</f>
        <v>Staff AVG</v>
      </c>
      <c r="B13">
        <f>IF(CPS!C10&gt;0,CPS!C10,"")</f>
        <v>17</v>
      </c>
      <c r="C13">
        <f>IF(CPS!D10&gt;0,CPS!D10,"")</f>
        <v>17</v>
      </c>
      <c r="D13">
        <f>IF(CPS!E10&gt;0,CPS!E10,"")</f>
        <v>17</v>
      </c>
      <c r="E13">
        <f>IF(CPS!F10&gt;0,CPS!F10,"")</f>
        <v>17</v>
      </c>
      <c r="F13">
        <f>IF(CPS!G10&gt;0,CPS!G10,"")</f>
        <v>17</v>
      </c>
      <c r="G13">
        <f>IF(CPS!H10&gt;0,CPS!H10,"")</f>
        <v>17</v>
      </c>
      <c r="H13">
        <f>IF(CPS!I10&gt;0,CPS!I10,"")</f>
        <v>17</v>
      </c>
      <c r="I13">
        <f>IF(CPS!J10&gt;0,CPS!J10,"")</f>
        <v>17</v>
      </c>
      <c r="J13">
        <f>IF(CPS!K10&gt;0,CPS!K10,"")</f>
        <v>17</v>
      </c>
      <c r="K13">
        <f>IF(CPS!L10&gt;0,CPS!L10,"")</f>
        <v>17</v>
      </c>
      <c r="L13">
        <f>IF(CPS!M10&gt;0,CPS!M10,"")</f>
        <v>17</v>
      </c>
      <c r="M13">
        <f>IF(CPS!N10&gt;0,CPS!N10,"")</f>
        <v>17</v>
      </c>
      <c r="N13">
        <f>IF(CPS!O10&gt;0,CPS!O10,"")</f>
        <v>17</v>
      </c>
      <c r="O13">
        <f>IF(CPS!P10&gt;0,CPS!P10,"")</f>
        <v>17</v>
      </c>
      <c r="P13">
        <f>IF(CPS!Q10&gt;0,CPS!Q10,"")</f>
        <v>17</v>
      </c>
    </row>
    <row r="14" spans="1:16" x14ac:dyDescent="0.2">
      <c r="A14" t="str">
        <f>IF(CPS!B4&gt;0,CPS!B4,"")</f>
        <v>Plan</v>
      </c>
      <c r="B14">
        <f>IF(CPS!C11&gt;0,CPS!C11,"")</f>
        <v>17</v>
      </c>
      <c r="C14">
        <f>IF(CPS!D11&gt;0,CPS!D11,"")</f>
        <v>17</v>
      </c>
      <c r="D14">
        <f>IF(CPS!E11&gt;0,CPS!E11,"")</f>
        <v>17</v>
      </c>
      <c r="E14">
        <f>IF(CPS!F11&gt;0,CPS!F11,"")</f>
        <v>17</v>
      </c>
      <c r="F14">
        <f>IF(CPS!G11&gt;0,CPS!G11,"")</f>
        <v>18</v>
      </c>
      <c r="G14">
        <f>IF(CPS!H11&gt;0,CPS!H11,"")</f>
        <v>17</v>
      </c>
      <c r="H14">
        <f>IF(CPS!I11&gt;0,CPS!I11,"")</f>
        <v>16</v>
      </c>
      <c r="I14">
        <f>IF(CPS!J11&gt;0,CPS!J11,"")</f>
        <v>16</v>
      </c>
      <c r="J14">
        <f>IF(CPS!K11&gt;0,CPS!K11,"")</f>
        <v>16</v>
      </c>
      <c r="K14">
        <f>IF(CPS!L11&gt;0,CPS!L11,"")</f>
        <v>16</v>
      </c>
      <c r="L14">
        <f>IF(CPS!M11&gt;0,CPS!M11,"")</f>
        <v>16</v>
      </c>
      <c r="M14">
        <f>IF(CPS!N11&gt;0,CPS!N11,"")</f>
        <v>16</v>
      </c>
      <c r="N14">
        <f>IF(CPS!O11&gt;0,CPS!O11,"")</f>
        <v>14</v>
      </c>
      <c r="O14">
        <f>IF(CPS!P11&gt;0,CPS!P11,"")</f>
        <v>14</v>
      </c>
      <c r="P14">
        <f>IF(CPS!Q11&gt;0,CPS!Q11,"")</f>
        <v>14</v>
      </c>
    </row>
    <row r="21" spans="1:16" x14ac:dyDescent="0.2">
      <c r="B21" t="str">
        <f>IF(CPS!C1&gt;0,CPS!C1,"")</f>
        <v>JAN</v>
      </c>
      <c r="C21" t="str">
        <f>IF(CPS!D1&gt;0,CPS!D1,"")</f>
        <v>FEB</v>
      </c>
      <c r="D21" t="str">
        <f>IF(CPS!E1&gt;0,CPS!E1,"")</f>
        <v>MAR</v>
      </c>
      <c r="E21" t="str">
        <f>IF(CPS!F1&gt;0,CPS!F1,"")</f>
        <v>APR</v>
      </c>
      <c r="F21" t="str">
        <f>IF(CPS!G1&gt;0,CPS!G1,"")</f>
        <v>MAY</v>
      </c>
      <c r="G21" t="str">
        <f>IF(CPS!H1&gt;0,CPS!H1,"")</f>
        <v>JUN</v>
      </c>
      <c r="H21" t="str">
        <f>IF(CPS!I1&gt;0,CPS!I1,"")</f>
        <v>JUL</v>
      </c>
      <c r="I21" t="str">
        <f>IF(CPS!J1&gt;0,CPS!J1,"")</f>
        <v>AUG</v>
      </c>
      <c r="J21" t="str">
        <f>IF(CPS!K1&gt;0,CPS!K1,"")</f>
        <v>SEP</v>
      </c>
      <c r="K21" t="str">
        <f>IF(CPS!L1&gt;0,CPS!L1,"")</f>
        <v>OCT</v>
      </c>
      <c r="L21" t="str">
        <f>IF(CPS!M1&gt;0,CPS!M1,"")</f>
        <v>NOV</v>
      </c>
      <c r="M21" t="str">
        <f>IF(CPS!N1&gt;0,CPS!N1,"")</f>
        <v>DEC</v>
      </c>
      <c r="N21" t="str">
        <f>IF(CPS!O1&gt;0,CPS!O1,"")</f>
        <v>JAN'27</v>
      </c>
      <c r="O21" t="str">
        <f>IF(CPS!P1&gt;0,CPS!P1,"")</f>
        <v>FEB'27</v>
      </c>
      <c r="P21" t="str">
        <f>IF(CPS!Q1&gt;0,CPS!Q1,"")</f>
        <v>MAR'27</v>
      </c>
    </row>
    <row r="22" spans="1:16" x14ac:dyDescent="0.2">
      <c r="A22" t="str">
        <f>IF(CPS!B2&gt;0,CPS!B2,"")</f>
        <v>Staff</v>
      </c>
      <c r="B22" t="str">
        <f>IF(CPS!C13&gt;0,CPS!C13,"")</f>
        <v/>
      </c>
      <c r="C22" t="str">
        <f>IF(CPS!D13&gt;0,CPS!D13,"")</f>
        <v/>
      </c>
      <c r="D22" t="str">
        <f>IF(CPS!E13&gt;0,CPS!E13,"")</f>
        <v/>
      </c>
      <c r="E22" t="str">
        <f>IF(CPS!F13&gt;0,CPS!F13,"")</f>
        <v/>
      </c>
      <c r="F22" t="str">
        <f>IF(CPS!G13&gt;0,CPS!G13,"")</f>
        <v/>
      </c>
      <c r="G22" t="str">
        <f>IF(CPS!H13&gt;0,CPS!H13,"")</f>
        <v/>
      </c>
      <c r="H22" t="str">
        <f>IF(CPS!I13&gt;0,CPS!I13,"")</f>
        <v/>
      </c>
      <c r="I22" t="str">
        <f>IF(CPS!J13&gt;0,CPS!J13,"")</f>
        <v/>
      </c>
      <c r="J22" t="str">
        <f>IF(CPS!K13&gt;0,CPS!K13,"")</f>
        <v/>
      </c>
      <c r="K22" t="str">
        <f>IF(CPS!L13&gt;0,CPS!L13,"")</f>
        <v/>
      </c>
      <c r="L22" t="str">
        <f>IF(CPS!M13&gt;0,CPS!M13,"")</f>
        <v/>
      </c>
      <c r="M22" t="str">
        <f>IF(CPS!N13&gt;0,CPS!N13,"")</f>
        <v/>
      </c>
      <c r="N22" t="str">
        <f>IF(CPS!O13&gt;0,CPS!O13,"")</f>
        <v/>
      </c>
      <c r="O22" t="str">
        <f>IF(CPS!P13&gt;0,CPS!P13,"")</f>
        <v/>
      </c>
      <c r="P22" t="str">
        <f>IF(CPS!Q13&gt;0,CPS!Q13,"")</f>
        <v/>
      </c>
    </row>
    <row r="23" spans="1:16" x14ac:dyDescent="0.2">
      <c r="A23" t="str">
        <f>IF(CPS!B3&gt;0,CPS!B3,"")</f>
        <v>Staff AVG</v>
      </c>
      <c r="B23" t="str">
        <f>IF(CPS!C14&gt;0,CPS!C14,"")</f>
        <v/>
      </c>
      <c r="C23" t="str">
        <f>IF(CPS!D14&gt;0,CPS!D14,"")</f>
        <v/>
      </c>
      <c r="D23" t="str">
        <f>IF(CPS!E14&gt;0,CPS!E14,"")</f>
        <v/>
      </c>
      <c r="E23" t="str">
        <f>IF(CPS!F14&gt;0,CPS!F14,"")</f>
        <v/>
      </c>
      <c r="F23" t="str">
        <f>IF(CPS!G14&gt;0,CPS!G14,"")</f>
        <v/>
      </c>
      <c r="G23" t="str">
        <f>IF(CPS!H14&gt;0,CPS!H14,"")</f>
        <v/>
      </c>
      <c r="H23" t="str">
        <f>IF(CPS!I14&gt;0,CPS!I14,"")</f>
        <v/>
      </c>
      <c r="I23" t="str">
        <f>IF(CPS!J14&gt;0,CPS!J14,"")</f>
        <v/>
      </c>
      <c r="J23" t="str">
        <f>IF(CPS!K14&gt;0,CPS!K14,"")</f>
        <v/>
      </c>
      <c r="K23" t="str">
        <f>IF(CPS!L14&gt;0,CPS!L14,"")</f>
        <v/>
      </c>
      <c r="L23" t="str">
        <f>IF(CPS!M14&gt;0,CPS!M14,"")</f>
        <v/>
      </c>
      <c r="M23" t="str">
        <f>IF(CPS!N14&gt;0,CPS!N14,"")</f>
        <v/>
      </c>
      <c r="N23" t="str">
        <f>IF(CPS!O14&gt;0,CPS!O14,"")</f>
        <v/>
      </c>
      <c r="O23" t="str">
        <f>IF(CPS!P14&gt;0,CPS!P14,"")</f>
        <v/>
      </c>
      <c r="P23" t="str">
        <f>IF(CPS!Q14&gt;0,CPS!Q14,"")</f>
        <v/>
      </c>
    </row>
    <row r="24" spans="1:16" x14ac:dyDescent="0.2">
      <c r="A24" t="str">
        <f>IF(CPS!B4&gt;0,CPS!B4,"")</f>
        <v>Plan</v>
      </c>
      <c r="B24" t="str">
        <f>IF(CPS!C15&gt;0,CPS!C15,"")</f>
        <v/>
      </c>
      <c r="C24" t="str">
        <f>IF(CPS!D15&gt;0,CPS!D15,"")</f>
        <v/>
      </c>
      <c r="D24" t="str">
        <f>IF(CPS!E15&gt;0,CPS!E15,"")</f>
        <v/>
      </c>
      <c r="E24" t="str">
        <f>IF(CPS!F15&gt;0,CPS!F15,"")</f>
        <v/>
      </c>
      <c r="F24" t="str">
        <f>IF(CPS!G15&gt;0,CPS!G15,"")</f>
        <v/>
      </c>
      <c r="G24" t="str">
        <f>IF(CPS!H15&gt;0,CPS!H15,"")</f>
        <v/>
      </c>
      <c r="H24" t="str">
        <f>IF(CPS!I15&gt;0,CPS!I15,"")</f>
        <v/>
      </c>
      <c r="I24" t="str">
        <f>IF(CPS!J15&gt;0,CPS!J15,"")</f>
        <v/>
      </c>
      <c r="J24" t="str">
        <f>IF(CPS!K15&gt;0,CPS!K15,"")</f>
        <v/>
      </c>
      <c r="K24" t="str">
        <f>IF(CPS!L15&gt;0,CPS!L15,"")</f>
        <v/>
      </c>
      <c r="L24" t="str">
        <f>IF(CPS!M15&gt;0,CPS!M15,"")</f>
        <v/>
      </c>
      <c r="M24" t="str">
        <f>IF(CPS!N15&gt;0,CPS!N15,"")</f>
        <v/>
      </c>
      <c r="N24" t="str">
        <f>IF(CPS!O15&gt;0,CPS!O15,"")</f>
        <v/>
      </c>
      <c r="O24" t="str">
        <f>IF(CPS!P15&gt;0,CPS!P15,"")</f>
        <v/>
      </c>
      <c r="P24" t="str">
        <f>IF(CPS!Q15&gt;0,CPS!Q15,"")</f>
        <v/>
      </c>
    </row>
    <row r="31" spans="1:16" x14ac:dyDescent="0.2">
      <c r="B31" t="str">
        <f>IF(CPS!C1&gt;0,CPS!C1,"")</f>
        <v>JAN</v>
      </c>
      <c r="C31" t="str">
        <f>IF(CPS!D1&gt;0,CPS!D1,"")</f>
        <v>FEB</v>
      </c>
      <c r="D31" t="str">
        <f>IF(CPS!E1&gt;0,CPS!E1,"")</f>
        <v>MAR</v>
      </c>
      <c r="E31" t="str">
        <f>IF(CPS!F1&gt;0,CPS!F1,"")</f>
        <v>APR</v>
      </c>
      <c r="F31" t="str">
        <f>IF(CPS!G1&gt;0,CPS!G1,"")</f>
        <v>MAY</v>
      </c>
      <c r="G31" t="str">
        <f>IF(CPS!H1&gt;0,CPS!H1,"")</f>
        <v>JUN</v>
      </c>
      <c r="H31" t="str">
        <f>IF(CPS!I1&gt;0,CPS!I1,"")</f>
        <v>JUL</v>
      </c>
      <c r="I31" t="str">
        <f>IF(CPS!J1&gt;0,CPS!J1,"")</f>
        <v>AUG</v>
      </c>
      <c r="J31" t="str">
        <f>IF(CPS!K1&gt;0,CPS!K1,"")</f>
        <v>SEP</v>
      </c>
      <c r="K31" t="str">
        <f>IF(CPS!L1&gt;0,CPS!L1,"")</f>
        <v>OCT</v>
      </c>
      <c r="L31" t="str">
        <f>IF(CPS!M1&gt;0,CPS!M1,"")</f>
        <v>NOV</v>
      </c>
      <c r="M31" t="str">
        <f>IF(CPS!N1&gt;0,CPS!N1,"")</f>
        <v>DEC</v>
      </c>
      <c r="N31" t="str">
        <f>IF(CPS!O1&gt;0,CPS!O1,"")</f>
        <v>JAN'27</v>
      </c>
      <c r="O31" t="str">
        <f>IF(CPS!P1&gt;0,CPS!P1,"")</f>
        <v>FEB'27</v>
      </c>
      <c r="P31" t="str">
        <f>IF(CPS!Q1&gt;0,CPS!Q1,"")</f>
        <v>MAR'27</v>
      </c>
    </row>
    <row r="32" spans="1:16" x14ac:dyDescent="0.2">
      <c r="A32" t="str">
        <f>IF(CPS!B2&gt;0,CPS!B2,"")</f>
        <v>Staff</v>
      </c>
      <c r="B32" t="str">
        <f>IF(CPS!C17&gt;0,CPS!C17,"")</f>
        <v/>
      </c>
      <c r="C32" t="str">
        <f>IF(CPS!D17&gt;0,CPS!D17,"")</f>
        <v/>
      </c>
      <c r="D32" t="str">
        <f>IF(CPS!E17&gt;0,CPS!E17,"")</f>
        <v/>
      </c>
      <c r="E32" t="str">
        <f>IF(CPS!F17&gt;0,CPS!F17,"")</f>
        <v/>
      </c>
      <c r="F32" t="str">
        <f>IF(CPS!G17&gt;0,CPS!G17,"")</f>
        <v/>
      </c>
      <c r="G32" t="str">
        <f>IF(CPS!H17&gt;0,CPS!H17,"")</f>
        <v/>
      </c>
      <c r="H32" t="str">
        <f>IF(CPS!I17&gt;0,CPS!I17,"")</f>
        <v/>
      </c>
      <c r="I32" t="str">
        <f>IF(CPS!J17&gt;0,CPS!J17,"")</f>
        <v/>
      </c>
      <c r="J32" t="str">
        <f>IF(CPS!K17&gt;0,CPS!K17,"")</f>
        <v/>
      </c>
      <c r="K32" t="str">
        <f>IF(CPS!L17&gt;0,CPS!L17,"")</f>
        <v/>
      </c>
      <c r="L32" t="str">
        <f>IF(CPS!M17&gt;0,CPS!M17,"")</f>
        <v/>
      </c>
      <c r="M32" t="str">
        <f>IF(CPS!N17&gt;0,CPS!N17,"")</f>
        <v/>
      </c>
      <c r="N32" t="str">
        <f>IF(CPS!O17&gt;0,CPS!O17,"")</f>
        <v/>
      </c>
      <c r="O32" t="str">
        <f>IF(CPS!P17&gt;0,CPS!P17,"")</f>
        <v/>
      </c>
      <c r="P32" t="str">
        <f>IF(CPS!Q17&gt;0,CPS!Q17,"")</f>
        <v/>
      </c>
    </row>
    <row r="33" spans="1:16" x14ac:dyDescent="0.2">
      <c r="A33" t="str">
        <f>IF(CPS!B3&gt;0,CPS!B3,"")</f>
        <v>Staff AVG</v>
      </c>
      <c r="B33" t="str">
        <f>IF(CPS!C18&gt;0,CPS!C18,"")</f>
        <v/>
      </c>
      <c r="C33" t="str">
        <f>IF(CPS!D18&gt;0,CPS!D18,"")</f>
        <v/>
      </c>
      <c r="D33" t="str">
        <f>IF(CPS!E18&gt;0,CPS!E18,"")</f>
        <v/>
      </c>
      <c r="E33" t="str">
        <f>IF(CPS!F18&gt;0,CPS!F18,"")</f>
        <v/>
      </c>
      <c r="F33" t="str">
        <f>IF(CPS!G18&gt;0,CPS!G18,"")</f>
        <v/>
      </c>
      <c r="G33" t="str">
        <f>IF(CPS!H18&gt;0,CPS!H18,"")</f>
        <v/>
      </c>
      <c r="H33" t="str">
        <f>IF(CPS!I18&gt;0,CPS!I18,"")</f>
        <v/>
      </c>
      <c r="I33" t="str">
        <f>IF(CPS!J18&gt;0,CPS!J18,"")</f>
        <v/>
      </c>
      <c r="J33" t="str">
        <f>IF(CPS!K18&gt;0,CPS!K18,"")</f>
        <v/>
      </c>
      <c r="K33" t="str">
        <f>IF(CPS!L18&gt;0,CPS!L18,"")</f>
        <v/>
      </c>
      <c r="L33" t="str">
        <f>IF(CPS!M18&gt;0,CPS!M18,"")</f>
        <v/>
      </c>
      <c r="M33" t="str">
        <f>IF(CPS!N18&gt;0,CPS!N18,"")</f>
        <v/>
      </c>
      <c r="N33" t="str">
        <f>IF(CPS!O18&gt;0,CPS!O18,"")</f>
        <v/>
      </c>
      <c r="O33" t="str">
        <f>IF(CPS!P18&gt;0,CPS!P18,"")</f>
        <v/>
      </c>
      <c r="P33" t="str">
        <f>IF(CPS!Q18&gt;0,CPS!Q18,"")</f>
        <v/>
      </c>
    </row>
    <row r="34" spans="1:16" x14ac:dyDescent="0.2">
      <c r="A34" t="str">
        <f>IF(CPS!B4&gt;0,CPS!B4,"")</f>
        <v>Plan</v>
      </c>
      <c r="B34" t="str">
        <f>IF(CPS!C19&gt;0,CPS!C19,"")</f>
        <v/>
      </c>
      <c r="C34" t="str">
        <f>IF(CPS!D19&gt;0,CPS!D19,"")</f>
        <v/>
      </c>
      <c r="D34" t="str">
        <f>IF(CPS!E19&gt;0,CPS!E19,"")</f>
        <v/>
      </c>
      <c r="E34" t="str">
        <f>IF(CPS!F19&gt;0,CPS!F19,"")</f>
        <v/>
      </c>
      <c r="F34" t="str">
        <f>IF(CPS!G19&gt;0,CPS!G19,"")</f>
        <v/>
      </c>
      <c r="G34" t="str">
        <f>IF(CPS!H19&gt;0,CPS!H19,"")</f>
        <v/>
      </c>
      <c r="H34" t="str">
        <f>IF(CPS!I19&gt;0,CPS!I19,"")</f>
        <v/>
      </c>
      <c r="I34" t="str">
        <f>IF(CPS!J19&gt;0,CPS!J19,"")</f>
        <v/>
      </c>
      <c r="J34" t="str">
        <f>IF(CPS!K19&gt;0,CPS!K19,"")</f>
        <v/>
      </c>
      <c r="K34" t="str">
        <f>IF(CPS!L19&gt;0,CPS!L19,"")</f>
        <v/>
      </c>
      <c r="L34" t="str">
        <f>IF(CPS!M19&gt;0,CPS!M19,"")</f>
        <v/>
      </c>
      <c r="M34" t="str">
        <f>IF(CPS!N19&gt;0,CPS!N19,"")</f>
        <v/>
      </c>
      <c r="N34" t="str">
        <f>IF(CPS!O19&gt;0,CPS!O19,"")</f>
        <v/>
      </c>
      <c r="O34" t="str">
        <f>IF(CPS!P19&gt;0,CPS!P19,"")</f>
        <v/>
      </c>
      <c r="P34" t="str">
        <f>IF(CPS!Q19&gt;0,CPS!Q19,"")</f>
        <v/>
      </c>
    </row>
    <row r="41" spans="1:16" x14ac:dyDescent="0.2">
      <c r="B41" t="str">
        <f>IF(CPS!C31&gt;0,CPS!C31,"")</f>
        <v>Q1</v>
      </c>
      <c r="C41" t="str">
        <f>IF(CPS!D31&gt;0,CPS!D31,"")</f>
        <v>Q2</v>
      </c>
      <c r="D41" t="str">
        <f>IF(CPS!E31&gt;0,CPS!E31,"")</f>
        <v>Q3</v>
      </c>
      <c r="E41" t="str">
        <f>IF(CPS!F31&gt;0,CPS!F31,"")</f>
        <v>Q4</v>
      </c>
      <c r="F41" t="str">
        <f>IF(CPS!G31&gt;0,CPS!G31,"")</f>
        <v>Q1'27</v>
      </c>
    </row>
    <row r="42" spans="1:16" x14ac:dyDescent="0.2">
      <c r="A42" t="str">
        <f>IF(CPS!B32&gt;0,CPS!B32,"")</f>
        <v>Staff</v>
      </c>
      <c r="B42">
        <f>IF(CPS!C32&gt;0,CPS!C32,"")</f>
        <v>18</v>
      </c>
      <c r="C42">
        <f>IF(CPS!D32&gt;0,CPS!D32,"")</f>
        <v>17</v>
      </c>
      <c r="D42">
        <f>IF(CPS!E32&gt;0,CPS!E32,"")</f>
        <v>17</v>
      </c>
      <c r="E42">
        <f>IF(CPS!F32&gt;0,CPS!F32,"")</f>
        <v>17</v>
      </c>
      <c r="F42">
        <f>IF(CPS!G32&gt;0,CPS!G32,"")</f>
        <v>17</v>
      </c>
    </row>
    <row r="43" spans="1:16" x14ac:dyDescent="0.2">
      <c r="A43" t="str">
        <f>IF(CPS!B33&gt;0,CPS!B33,"")</f>
        <v>Staff AVG</v>
      </c>
      <c r="B43">
        <f>IF(CPS!C33&gt;0,CPS!C33,"")</f>
        <v>17</v>
      </c>
      <c r="C43">
        <f>IF(CPS!D33&gt;0,CPS!D33,"")</f>
        <v>17</v>
      </c>
      <c r="D43">
        <f>IF(CPS!E33&gt;0,CPS!E33,"")</f>
        <v>17</v>
      </c>
      <c r="E43">
        <f>IF(CPS!F33&gt;0,CPS!F33,"")</f>
        <v>17</v>
      </c>
      <c r="F43">
        <f>IF(CPS!G33&gt;0,CPS!G33,"")</f>
        <v>17</v>
      </c>
    </row>
    <row r="44" spans="1:16" x14ac:dyDescent="0.2">
      <c r="A44" t="str">
        <f>IF(CPS!B34&gt;0,CPS!B34,"")</f>
        <v>Plan</v>
      </c>
      <c r="B44">
        <f>IF(CPS!C34&gt;0,CPS!C34,"")</f>
        <v>17</v>
      </c>
      <c r="C44">
        <f>IF(CPS!D34&gt;0,CPS!D34,"")</f>
        <v>17</v>
      </c>
      <c r="D44">
        <f>IF(CPS!E34&gt;0,CPS!E34,"")</f>
        <v>16</v>
      </c>
      <c r="E44">
        <f>IF(CPS!F34&gt;0,CPS!F34,"")</f>
        <v>16</v>
      </c>
      <c r="F44">
        <f>IF(CPS!G34&gt;0,CPS!G34,"")</f>
        <v>15</v>
      </c>
    </row>
    <row r="45" spans="1:16" x14ac:dyDescent="0.2">
      <c r="A45" t="str">
        <f>IF(CPS!B41&gt;0,CPS!B41,"")</f>
        <v>PAYROLL</v>
      </c>
      <c r="B45">
        <f>IF(CPS!C41&gt;0,CPS!C41,"")</f>
        <v>17</v>
      </c>
      <c r="C45">
        <f>IF(CPS!D41&gt;0,CPS!D41,"")</f>
        <v>17</v>
      </c>
      <c r="D45">
        <f>IF(CPS!E41&gt;0,CPS!E41,"")</f>
        <v>16</v>
      </c>
      <c r="E45">
        <f>IF(CPS!F41&gt;0,CPS!F41,"")</f>
        <v>16</v>
      </c>
      <c r="F45">
        <f>IF(CPS!G41&gt;0,CPS!G41,"")</f>
        <v>15</v>
      </c>
    </row>
    <row r="46" spans="1:16" x14ac:dyDescent="0.2">
      <c r="A46" t="str">
        <f>IF(CPS!B45&gt;0,CPS!B45,"")</f>
        <v>CONTRACTOR</v>
      </c>
      <c r="B46" t="str">
        <f>IF(CPS!C45&gt;0,CPS!C45,"")</f>
        <v/>
      </c>
      <c r="C46" t="str">
        <f>IF(CPS!D45&gt;0,CPS!D45,"")</f>
        <v/>
      </c>
      <c r="D46" t="str">
        <f>IF(CPS!E45&gt;0,CPS!E45,"")</f>
        <v/>
      </c>
      <c r="E46" t="str">
        <f>IF(CPS!F45&gt;0,CPS!F45,"")</f>
        <v/>
      </c>
      <c r="F46" t="str">
        <f>IF(CPS!G45&gt;0,CPS!G45,"")</f>
        <v/>
      </c>
    </row>
    <row r="47" spans="1:16" x14ac:dyDescent="0.2">
      <c r="A47" t="str">
        <f>IF(CPS!B49&gt;0,CPS!B49,"")</f>
        <v>OUTSOURCE</v>
      </c>
      <c r="B47" t="str">
        <f>IF(CPS!C49&gt;0,CPS!C49,"")</f>
        <v/>
      </c>
      <c r="C47" t="str">
        <f>IF(CPS!D49&gt;0,CPS!D49,"")</f>
        <v/>
      </c>
      <c r="D47" t="str">
        <f>IF(CPS!E49&gt;0,CPS!E49,"")</f>
        <v/>
      </c>
      <c r="E47" t="str">
        <f>IF(CPS!F49&gt;0,CPS!F49,"")</f>
        <v/>
      </c>
      <c r="F47" t="str">
        <f>IF(CPS!G49&gt;0,CPS!G49,"")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F0F82-0DFA-1E4B-A728-96791579F303}">
  <sheetPr>
    <tabColor theme="7"/>
  </sheetPr>
  <dimension ref="A1:Q49"/>
  <sheetViews>
    <sheetView workbookViewId="0">
      <selection activeCell="A31" sqref="A31:B4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32</v>
      </c>
      <c r="B2" s="7" t="s">
        <v>16</v>
      </c>
      <c r="C2" s="8">
        <v>45</v>
      </c>
      <c r="D2" s="8">
        <v>45</v>
      </c>
      <c r="E2" s="8">
        <v>45</v>
      </c>
      <c r="F2" s="8">
        <v>48</v>
      </c>
      <c r="G2" s="8">
        <v>48</v>
      </c>
      <c r="H2" s="8">
        <v>48</v>
      </c>
      <c r="I2" s="8">
        <v>48</v>
      </c>
      <c r="J2" s="8">
        <v>48</v>
      </c>
      <c r="K2" s="8">
        <v>48</v>
      </c>
      <c r="L2" s="8">
        <v>48</v>
      </c>
      <c r="M2" s="8">
        <v>48</v>
      </c>
      <c r="N2" s="8">
        <v>48</v>
      </c>
      <c r="O2" s="8">
        <v>48</v>
      </c>
      <c r="P2" s="8">
        <v>48</v>
      </c>
      <c r="Q2" s="8">
        <v>48</v>
      </c>
    </row>
    <row r="3" spans="1:17" x14ac:dyDescent="0.2">
      <c r="A3" s="12" t="s">
        <v>32</v>
      </c>
      <c r="B3" s="9" t="s">
        <v>17</v>
      </c>
      <c r="C3" s="8">
        <v>47</v>
      </c>
      <c r="D3" s="8">
        <v>47</v>
      </c>
      <c r="E3" s="8">
        <v>47</v>
      </c>
      <c r="F3" s="8">
        <v>48</v>
      </c>
      <c r="G3" s="8">
        <v>48</v>
      </c>
      <c r="H3" s="8">
        <v>48</v>
      </c>
      <c r="I3" s="8">
        <v>48</v>
      </c>
      <c r="J3" s="8">
        <v>48</v>
      </c>
      <c r="K3" s="8">
        <v>48</v>
      </c>
      <c r="L3" s="8">
        <v>48</v>
      </c>
      <c r="M3" s="8">
        <v>48</v>
      </c>
      <c r="N3" s="8">
        <v>48</v>
      </c>
      <c r="O3" s="8">
        <v>48</v>
      </c>
      <c r="P3" s="8">
        <v>48</v>
      </c>
      <c r="Q3" s="8">
        <v>48</v>
      </c>
    </row>
    <row r="4" spans="1:17" x14ac:dyDescent="0.2">
      <c r="A4" s="13" t="s">
        <v>32</v>
      </c>
      <c r="B4" s="10" t="s">
        <v>18</v>
      </c>
      <c r="C4" s="8">
        <v>40</v>
      </c>
      <c r="D4" s="8">
        <v>42</v>
      </c>
      <c r="E4" s="8">
        <v>44</v>
      </c>
      <c r="F4" s="8">
        <v>45</v>
      </c>
      <c r="G4" s="8">
        <v>47</v>
      </c>
      <c r="H4" s="8">
        <v>44</v>
      </c>
      <c r="I4" s="8">
        <v>45</v>
      </c>
      <c r="J4" s="8">
        <v>45</v>
      </c>
      <c r="K4" s="8">
        <v>45</v>
      </c>
      <c r="L4" s="8">
        <v>42</v>
      </c>
      <c r="M4" s="8">
        <v>41</v>
      </c>
      <c r="N4" s="8">
        <v>41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0.89780000000000004</v>
      </c>
      <c r="D6" s="19">
        <v>0.94130000000000003</v>
      </c>
      <c r="E6" s="19">
        <v>0.98819999999999997</v>
      </c>
      <c r="F6" s="19">
        <v>0.94650000000000001</v>
      </c>
      <c r="G6" s="19">
        <v>0.97460000000000002</v>
      </c>
      <c r="H6" s="19">
        <v>0.91479999999999995</v>
      </c>
      <c r="I6" s="19">
        <v>0.93979999999999997</v>
      </c>
      <c r="J6" s="19">
        <v>0.92830000000000001</v>
      </c>
      <c r="K6" s="19">
        <v>0.93879999999999997</v>
      </c>
      <c r="L6" s="19">
        <v>0.86850000000000005</v>
      </c>
      <c r="M6" s="19">
        <v>0.85419999999999996</v>
      </c>
      <c r="N6" s="19">
        <v>0.85419999999999996</v>
      </c>
      <c r="O6" s="19">
        <v>0.65939999999999999</v>
      </c>
      <c r="P6" s="19">
        <v>0.65939999999999999</v>
      </c>
      <c r="Q6" s="19">
        <v>0.65939999999999999</v>
      </c>
    </row>
    <row r="7" spans="1:17" x14ac:dyDescent="0.2">
      <c r="A7" s="17"/>
      <c r="B7" s="18" t="s">
        <v>24</v>
      </c>
      <c r="C7" s="20">
        <v>5</v>
      </c>
      <c r="D7" s="20">
        <v>3</v>
      </c>
      <c r="E7" s="20">
        <v>1</v>
      </c>
      <c r="F7" s="20">
        <v>3</v>
      </c>
      <c r="G7" s="20">
        <v>1</v>
      </c>
      <c r="H7" s="20">
        <v>4</v>
      </c>
      <c r="I7" s="20">
        <v>3</v>
      </c>
      <c r="J7" s="20">
        <v>3</v>
      </c>
      <c r="K7" s="20">
        <v>3</v>
      </c>
      <c r="L7" s="20">
        <v>6</v>
      </c>
      <c r="M7" s="20">
        <v>7</v>
      </c>
      <c r="N7" s="20">
        <v>7</v>
      </c>
      <c r="O7" s="20">
        <v>16</v>
      </c>
      <c r="P7" s="20">
        <v>16</v>
      </c>
      <c r="Q7" s="20">
        <v>16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28</v>
      </c>
      <c r="D9" s="8">
        <v>28</v>
      </c>
      <c r="E9" s="8">
        <v>27</v>
      </c>
      <c r="F9" s="8">
        <v>28</v>
      </c>
      <c r="G9" s="8">
        <v>28</v>
      </c>
      <c r="H9" s="8">
        <v>28</v>
      </c>
      <c r="I9" s="8">
        <v>28</v>
      </c>
      <c r="J9" s="8">
        <v>28</v>
      </c>
      <c r="K9" s="8">
        <v>28</v>
      </c>
      <c r="L9" s="8">
        <v>28</v>
      </c>
      <c r="M9" s="8">
        <v>28</v>
      </c>
      <c r="N9" s="8">
        <v>28</v>
      </c>
      <c r="O9" s="8">
        <v>28</v>
      </c>
      <c r="P9" s="8">
        <v>28</v>
      </c>
      <c r="Q9" s="8">
        <v>28</v>
      </c>
    </row>
    <row r="10" spans="1:17" x14ac:dyDescent="0.2">
      <c r="A10" s="9" t="s">
        <v>17</v>
      </c>
      <c r="B10" s="12" t="s">
        <v>19</v>
      </c>
      <c r="C10" s="8">
        <v>28</v>
      </c>
      <c r="D10" s="8">
        <v>28</v>
      </c>
      <c r="E10" s="8">
        <v>28</v>
      </c>
      <c r="F10" s="8">
        <v>28</v>
      </c>
      <c r="G10" s="8">
        <v>28</v>
      </c>
      <c r="H10" s="8">
        <v>28</v>
      </c>
      <c r="I10" s="8">
        <v>28</v>
      </c>
      <c r="J10" s="8">
        <v>28</v>
      </c>
      <c r="K10" s="8">
        <v>28</v>
      </c>
      <c r="L10" s="8">
        <v>28</v>
      </c>
      <c r="M10" s="8">
        <v>28</v>
      </c>
      <c r="N10" s="8">
        <v>28</v>
      </c>
      <c r="O10" s="8">
        <v>28</v>
      </c>
      <c r="P10" s="8">
        <v>28</v>
      </c>
      <c r="Q10" s="8">
        <v>28</v>
      </c>
    </row>
    <row r="11" spans="1:17" x14ac:dyDescent="0.2">
      <c r="A11" s="16" t="s">
        <v>18</v>
      </c>
      <c r="B11" s="13" t="s">
        <v>19</v>
      </c>
      <c r="C11" s="8">
        <v>24</v>
      </c>
      <c r="D11" s="8">
        <v>26</v>
      </c>
      <c r="E11" s="8">
        <v>26</v>
      </c>
      <c r="F11" s="8">
        <v>27</v>
      </c>
      <c r="G11" s="8">
        <v>27</v>
      </c>
      <c r="H11" s="8">
        <v>25</v>
      </c>
      <c r="I11" s="8">
        <v>27</v>
      </c>
      <c r="J11" s="8">
        <v>26</v>
      </c>
      <c r="K11" s="8">
        <v>26</v>
      </c>
      <c r="L11" s="8">
        <v>25</v>
      </c>
      <c r="M11" s="8">
        <v>24</v>
      </c>
      <c r="N11" s="8">
        <v>24</v>
      </c>
      <c r="O11" s="8">
        <v>19</v>
      </c>
      <c r="P11" s="8">
        <v>19</v>
      </c>
      <c r="Q11" s="8">
        <v>19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17</v>
      </c>
      <c r="D13" s="8">
        <v>17</v>
      </c>
      <c r="E13" s="8">
        <v>17</v>
      </c>
      <c r="F13" s="8">
        <v>17</v>
      </c>
      <c r="G13" s="8">
        <v>17</v>
      </c>
      <c r="H13" s="8">
        <v>17</v>
      </c>
      <c r="I13" s="8">
        <v>17</v>
      </c>
      <c r="J13" s="8">
        <v>17</v>
      </c>
      <c r="K13" s="8">
        <v>17</v>
      </c>
      <c r="L13" s="8">
        <v>17</v>
      </c>
      <c r="M13" s="8">
        <v>17</v>
      </c>
      <c r="N13" s="8">
        <v>17</v>
      </c>
      <c r="O13" s="8">
        <v>17</v>
      </c>
      <c r="P13" s="8">
        <v>17</v>
      </c>
      <c r="Q13" s="8">
        <v>17</v>
      </c>
    </row>
    <row r="14" spans="1:17" x14ac:dyDescent="0.2">
      <c r="A14" s="9" t="s">
        <v>17</v>
      </c>
      <c r="B14" s="12" t="s">
        <v>20</v>
      </c>
      <c r="C14" s="8">
        <v>17</v>
      </c>
      <c r="D14" s="8">
        <v>17</v>
      </c>
      <c r="E14" s="8">
        <v>17</v>
      </c>
      <c r="F14" s="8">
        <v>17</v>
      </c>
      <c r="G14" s="8">
        <v>17</v>
      </c>
      <c r="H14" s="8">
        <v>17</v>
      </c>
      <c r="I14" s="8">
        <v>17</v>
      </c>
      <c r="J14" s="8">
        <v>17</v>
      </c>
      <c r="K14" s="8">
        <v>17</v>
      </c>
      <c r="L14" s="8">
        <v>17</v>
      </c>
      <c r="M14" s="8">
        <v>17</v>
      </c>
      <c r="N14" s="8">
        <v>17</v>
      </c>
      <c r="O14" s="8">
        <v>17</v>
      </c>
      <c r="P14" s="8">
        <v>17</v>
      </c>
      <c r="Q14" s="8">
        <v>17</v>
      </c>
    </row>
    <row r="15" spans="1:17" x14ac:dyDescent="0.2">
      <c r="A15" s="16" t="s">
        <v>18</v>
      </c>
      <c r="B15" s="13" t="s">
        <v>20</v>
      </c>
      <c r="C15" s="8">
        <v>16</v>
      </c>
      <c r="D15" s="8">
        <v>16</v>
      </c>
      <c r="E15" s="14">
        <v>18</v>
      </c>
      <c r="F15" s="8">
        <v>17</v>
      </c>
      <c r="G15" s="8">
        <v>17</v>
      </c>
      <c r="H15" s="8">
        <v>16</v>
      </c>
      <c r="I15" s="8">
        <v>16</v>
      </c>
      <c r="J15" s="8">
        <v>16</v>
      </c>
      <c r="K15" s="8">
        <v>16</v>
      </c>
      <c r="L15" s="8">
        <v>15</v>
      </c>
      <c r="M15" s="8">
        <v>15</v>
      </c>
      <c r="N15" s="8">
        <v>15</v>
      </c>
      <c r="O15" s="8">
        <v>13</v>
      </c>
      <c r="P15" s="8">
        <v>13</v>
      </c>
      <c r="Q15" s="8">
        <v>13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0</v>
      </c>
      <c r="D17" s="8">
        <v>0</v>
      </c>
      <c r="E17" s="8">
        <v>1</v>
      </c>
      <c r="F17" s="8">
        <v>3</v>
      </c>
      <c r="G17" s="8">
        <v>3</v>
      </c>
      <c r="H17" s="8">
        <v>3</v>
      </c>
      <c r="I17" s="8">
        <v>3</v>
      </c>
      <c r="J17" s="8">
        <v>3</v>
      </c>
      <c r="K17" s="8">
        <v>3</v>
      </c>
      <c r="L17" s="8">
        <v>3</v>
      </c>
      <c r="M17" s="8">
        <v>3</v>
      </c>
      <c r="N17" s="8">
        <v>3</v>
      </c>
      <c r="O17" s="8">
        <v>3</v>
      </c>
      <c r="P17" s="8">
        <v>3</v>
      </c>
      <c r="Q17" s="8">
        <v>3</v>
      </c>
    </row>
    <row r="18" spans="1:17" x14ac:dyDescent="0.2">
      <c r="A18" s="9" t="s">
        <v>17</v>
      </c>
      <c r="B18" s="12" t="s">
        <v>21</v>
      </c>
      <c r="C18" s="8">
        <v>2</v>
      </c>
      <c r="D18" s="8">
        <v>2</v>
      </c>
      <c r="E18" s="8">
        <v>2</v>
      </c>
      <c r="F18" s="8">
        <v>2</v>
      </c>
      <c r="G18" s="8">
        <v>2</v>
      </c>
      <c r="H18" s="8">
        <v>2</v>
      </c>
      <c r="I18" s="8">
        <v>2</v>
      </c>
      <c r="J18" s="8">
        <v>2</v>
      </c>
      <c r="K18" s="8">
        <v>2</v>
      </c>
      <c r="L18" s="8">
        <v>2</v>
      </c>
      <c r="M18" s="8">
        <v>2</v>
      </c>
      <c r="N18" s="8">
        <v>2</v>
      </c>
      <c r="O18" s="8">
        <v>2</v>
      </c>
      <c r="P18" s="8">
        <v>2</v>
      </c>
      <c r="Q18" s="8">
        <v>2</v>
      </c>
    </row>
    <row r="19" spans="1:17" x14ac:dyDescent="0.2">
      <c r="A19" s="16" t="s">
        <v>18</v>
      </c>
      <c r="B19" s="13" t="s">
        <v>21</v>
      </c>
      <c r="C19" s="8">
        <v>0</v>
      </c>
      <c r="D19" s="8">
        <v>0</v>
      </c>
      <c r="E19" s="8">
        <v>0</v>
      </c>
      <c r="F19" s="8">
        <v>1</v>
      </c>
      <c r="G19" s="8">
        <v>3</v>
      </c>
      <c r="H19" s="8">
        <v>3</v>
      </c>
      <c r="I19" s="8">
        <v>3</v>
      </c>
      <c r="J19" s="8">
        <v>3</v>
      </c>
      <c r="K19" s="8">
        <v>3</v>
      </c>
      <c r="L19" s="8">
        <v>2</v>
      </c>
      <c r="M19" s="8">
        <v>2</v>
      </c>
      <c r="N19" s="8">
        <v>2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32</v>
      </c>
      <c r="B32" s="7" t="s">
        <v>16</v>
      </c>
      <c r="C32" s="26">
        <v>45</v>
      </c>
      <c r="D32" s="21">
        <v>48</v>
      </c>
      <c r="E32" s="21">
        <v>48</v>
      </c>
      <c r="F32" s="21">
        <v>48</v>
      </c>
      <c r="G32" s="21">
        <v>48</v>
      </c>
    </row>
    <row r="33" spans="1:7" x14ac:dyDescent="0.2">
      <c r="A33" s="12" t="s">
        <v>32</v>
      </c>
      <c r="B33" s="9" t="s">
        <v>17</v>
      </c>
      <c r="C33" s="26">
        <v>47</v>
      </c>
      <c r="D33" s="21">
        <v>48</v>
      </c>
      <c r="E33" s="21">
        <v>48</v>
      </c>
      <c r="F33" s="21">
        <v>48</v>
      </c>
      <c r="G33" s="21">
        <v>48</v>
      </c>
    </row>
    <row r="34" spans="1:7" x14ac:dyDescent="0.2">
      <c r="A34" s="13" t="s">
        <v>32</v>
      </c>
      <c r="B34" s="10" t="s">
        <v>18</v>
      </c>
      <c r="C34" s="26">
        <v>42</v>
      </c>
      <c r="D34" s="21">
        <v>45</v>
      </c>
      <c r="E34" s="21">
        <v>45</v>
      </c>
      <c r="F34" s="21">
        <v>41</v>
      </c>
      <c r="G34" s="21">
        <v>38</v>
      </c>
    </row>
    <row r="35" spans="1:7" x14ac:dyDescent="0.2">
      <c r="A35" s="17"/>
      <c r="B35" s="8"/>
      <c r="C35" s="27">
        <v>5.7599999999999998E-2</v>
      </c>
      <c r="D35" s="28">
        <v>5.4699999999999999E-2</v>
      </c>
      <c r="E35" s="28">
        <v>6.4399999999999999E-2</v>
      </c>
      <c r="F35" s="28">
        <v>0.14099999999999999</v>
      </c>
      <c r="G35" s="28">
        <v>0.21079999999999999</v>
      </c>
    </row>
    <row r="36" spans="1:7" x14ac:dyDescent="0.2">
      <c r="A36" s="8"/>
      <c r="B36" s="18" t="s">
        <v>23</v>
      </c>
      <c r="C36" s="29">
        <v>0.94240000000000002</v>
      </c>
      <c r="D36" s="19">
        <v>0.94530000000000003</v>
      </c>
      <c r="E36" s="19">
        <v>0.93559999999999999</v>
      </c>
      <c r="F36" s="19">
        <v>0.85899999999999999</v>
      </c>
      <c r="G36" s="19">
        <v>0.78920000000000001</v>
      </c>
    </row>
    <row r="37" spans="1:7" x14ac:dyDescent="0.2">
      <c r="A37" s="17"/>
      <c r="B37" s="18" t="s">
        <v>24</v>
      </c>
      <c r="C37" s="30">
        <v>3</v>
      </c>
      <c r="D37" s="20">
        <v>3</v>
      </c>
      <c r="E37" s="20">
        <v>3</v>
      </c>
      <c r="F37" s="20">
        <v>7</v>
      </c>
      <c r="G37" s="20">
        <v>10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28</v>
      </c>
      <c r="D39" s="21">
        <v>28</v>
      </c>
      <c r="E39" s="21">
        <v>28</v>
      </c>
      <c r="F39" s="21">
        <v>28</v>
      </c>
      <c r="G39" s="21">
        <v>28</v>
      </c>
    </row>
    <row r="40" spans="1:7" x14ac:dyDescent="0.2">
      <c r="A40" s="9" t="s">
        <v>17</v>
      </c>
      <c r="B40" s="12" t="s">
        <v>19</v>
      </c>
      <c r="C40" s="26">
        <v>28</v>
      </c>
      <c r="D40" s="21">
        <v>28</v>
      </c>
      <c r="E40" s="21">
        <v>28</v>
      </c>
      <c r="F40" s="21">
        <v>28</v>
      </c>
      <c r="G40" s="21">
        <v>28</v>
      </c>
    </row>
    <row r="41" spans="1:7" x14ac:dyDescent="0.2">
      <c r="A41" s="16" t="s">
        <v>18</v>
      </c>
      <c r="B41" s="13" t="s">
        <v>19</v>
      </c>
      <c r="C41" s="26">
        <v>26</v>
      </c>
      <c r="D41" s="21">
        <v>27</v>
      </c>
      <c r="E41" s="21">
        <v>26</v>
      </c>
      <c r="F41" s="21">
        <v>24</v>
      </c>
      <c r="G41" s="21">
        <v>22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17</v>
      </c>
      <c r="D43" s="21">
        <v>17</v>
      </c>
      <c r="E43" s="21">
        <v>17</v>
      </c>
      <c r="F43" s="21">
        <v>17</v>
      </c>
      <c r="G43" s="21">
        <v>17</v>
      </c>
    </row>
    <row r="44" spans="1:7" x14ac:dyDescent="0.2">
      <c r="A44" s="9" t="s">
        <v>17</v>
      </c>
      <c r="B44" s="12" t="s">
        <v>20</v>
      </c>
      <c r="C44" s="26">
        <v>17</v>
      </c>
      <c r="D44" s="21">
        <v>17</v>
      </c>
      <c r="E44" s="21">
        <v>17</v>
      </c>
      <c r="F44" s="21">
        <v>17</v>
      </c>
      <c r="G44" s="21">
        <v>17</v>
      </c>
    </row>
    <row r="45" spans="1:7" x14ac:dyDescent="0.2">
      <c r="A45" s="16" t="s">
        <v>18</v>
      </c>
      <c r="B45" s="13" t="s">
        <v>20</v>
      </c>
      <c r="C45" s="26">
        <v>17</v>
      </c>
      <c r="D45" s="21">
        <v>17</v>
      </c>
      <c r="E45" s="21">
        <v>16</v>
      </c>
      <c r="F45" s="21">
        <v>15</v>
      </c>
      <c r="G45" s="21">
        <v>14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0</v>
      </c>
      <c r="D47" s="21">
        <v>3</v>
      </c>
      <c r="E47" s="21">
        <v>3</v>
      </c>
      <c r="F47" s="21">
        <v>3</v>
      </c>
      <c r="G47" s="21">
        <v>3</v>
      </c>
    </row>
    <row r="48" spans="1:7" x14ac:dyDescent="0.2">
      <c r="A48" s="9" t="s">
        <v>17</v>
      </c>
      <c r="B48" s="12" t="s">
        <v>21</v>
      </c>
      <c r="C48" s="26">
        <v>2</v>
      </c>
      <c r="D48" s="21">
        <v>2</v>
      </c>
      <c r="E48" s="21">
        <v>2</v>
      </c>
      <c r="F48" s="21">
        <v>2</v>
      </c>
      <c r="G48" s="21">
        <v>2</v>
      </c>
    </row>
    <row r="49" spans="1:7" x14ac:dyDescent="0.2">
      <c r="A49" s="16" t="s">
        <v>18</v>
      </c>
      <c r="B49" s="13" t="s">
        <v>21</v>
      </c>
      <c r="C49" s="26">
        <v>0</v>
      </c>
      <c r="D49" s="21">
        <v>2</v>
      </c>
      <c r="E49" s="21">
        <v>3</v>
      </c>
      <c r="F49" s="21">
        <v>2</v>
      </c>
      <c r="G49" s="21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1373-E770-0140-BF3F-1CD6E7CFCFB4}">
  <sheetPr>
    <tabColor theme="7" tint="0.79998168889431442"/>
  </sheetPr>
  <dimension ref="A1:P47"/>
  <sheetViews>
    <sheetView workbookViewId="0">
      <selection activeCell="A32" sqref="A32:A3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IF(PSE!C1&gt;0,PSE!C1,"")</f>
        <v>JAN</v>
      </c>
      <c r="C1" t="str">
        <f>IF(PSE!D1&gt;0,PSE!D1,"")</f>
        <v>FEB</v>
      </c>
      <c r="D1" t="str">
        <f>IF(PSE!E1&gt;0,PSE!E1,"")</f>
        <v>MAR</v>
      </c>
      <c r="E1" t="str">
        <f>IF(PSE!F1&gt;0,PSE!F1,"")</f>
        <v>APR</v>
      </c>
      <c r="F1" t="str">
        <f>IF(PSE!G1&gt;0,PSE!G1,"")</f>
        <v>MAY</v>
      </c>
      <c r="G1" t="str">
        <f>IF(PSE!H1&gt;0,PSE!H1,"")</f>
        <v>JUN</v>
      </c>
      <c r="H1" t="str">
        <f>IF(PSE!I1&gt;0,PSE!I1,"")</f>
        <v>JUL</v>
      </c>
      <c r="I1" t="str">
        <f>IF(PSE!J1&gt;0,PSE!J1,"")</f>
        <v>AUG</v>
      </c>
      <c r="J1" t="str">
        <f>IF(PSE!K1&gt;0,PSE!K1,"")</f>
        <v>SEP</v>
      </c>
      <c r="K1" t="str">
        <f>IF(PSE!L1&gt;0,PSE!L1,"")</f>
        <v>OCT</v>
      </c>
      <c r="L1" t="str">
        <f>IF(PSE!M1&gt;0,PSE!M1,"")</f>
        <v>NOV</v>
      </c>
      <c r="M1" t="str">
        <f>IF(PSE!N1&gt;0,PSE!N1,"")</f>
        <v>DEC</v>
      </c>
      <c r="N1" t="str">
        <f>IF(PSE!O1&gt;0,PSE!O1,"")</f>
        <v>JAN'27</v>
      </c>
      <c r="O1" t="str">
        <f>IF(PSE!P1&gt;0,PSE!P1,"")</f>
        <v>FEB'27</v>
      </c>
      <c r="P1" t="str">
        <f>IF(PSE!Q1&gt;0,PSE!Q1,"")</f>
        <v>MAR'27</v>
      </c>
    </row>
    <row r="2" spans="1:16" x14ac:dyDescent="0.2">
      <c r="A2" t="str">
        <f>IF(PSE!B2&gt;0,PSE!B2,"")</f>
        <v>Staff</v>
      </c>
      <c r="B2">
        <f>IF(PSE!C2&gt;0,PSE!C2,"")</f>
        <v>45</v>
      </c>
      <c r="C2">
        <f>IF(PSE!D2&gt;0,PSE!D2,"")</f>
        <v>45</v>
      </c>
      <c r="D2">
        <f>IF(PSE!E2&gt;0,PSE!E2,"")</f>
        <v>45</v>
      </c>
      <c r="E2">
        <f>IF(PSE!F2&gt;0,PSE!F2,"")</f>
        <v>48</v>
      </c>
      <c r="F2">
        <f>IF(PSE!G2&gt;0,PSE!G2,"")</f>
        <v>48</v>
      </c>
      <c r="G2">
        <f>IF(PSE!H2&gt;0,PSE!H2,"")</f>
        <v>48</v>
      </c>
      <c r="H2">
        <f>IF(PSE!I2&gt;0,PSE!I2,"")</f>
        <v>48</v>
      </c>
      <c r="I2">
        <f>IF(PSE!J2&gt;0,PSE!J2,"")</f>
        <v>48</v>
      </c>
      <c r="J2">
        <f>IF(PSE!K2&gt;0,PSE!K2,"")</f>
        <v>48</v>
      </c>
      <c r="K2">
        <f>IF(PSE!L2&gt;0,PSE!L2,"")</f>
        <v>48</v>
      </c>
      <c r="L2">
        <f>IF(PSE!M2&gt;0,PSE!M2,"")</f>
        <v>48</v>
      </c>
      <c r="M2">
        <f>IF(PSE!N2&gt;0,PSE!N2,"")</f>
        <v>48</v>
      </c>
      <c r="N2">
        <f>IF(PSE!O2&gt;0,PSE!O2,"")</f>
        <v>48</v>
      </c>
      <c r="O2">
        <f>IF(PSE!P2&gt;0,PSE!P2,"")</f>
        <v>48</v>
      </c>
      <c r="P2">
        <f>IF(PSE!Q2&gt;0,PSE!Q2,"")</f>
        <v>48</v>
      </c>
    </row>
    <row r="3" spans="1:16" x14ac:dyDescent="0.2">
      <c r="A3" t="str">
        <f>IF(PSE!B3&gt;0,PSE!B3,"")</f>
        <v>Staff AVG</v>
      </c>
      <c r="B3">
        <f>IF(PSE!C3&gt;0,PSE!C3,"")</f>
        <v>47</v>
      </c>
      <c r="C3">
        <f>IF(PSE!D3&gt;0,PSE!D3,"")</f>
        <v>47</v>
      </c>
      <c r="D3">
        <f>IF(PSE!E3&gt;0,PSE!E3,"")</f>
        <v>47</v>
      </c>
      <c r="E3">
        <f>IF(PSE!F3&gt;0,PSE!F3,"")</f>
        <v>48</v>
      </c>
      <c r="F3">
        <f>IF(PSE!G3&gt;0,PSE!G3,"")</f>
        <v>48</v>
      </c>
      <c r="G3">
        <f>IF(PSE!H3&gt;0,PSE!H3,"")</f>
        <v>48</v>
      </c>
      <c r="H3">
        <f>IF(PSE!I3&gt;0,PSE!I3,"")</f>
        <v>48</v>
      </c>
      <c r="I3">
        <f>IF(PSE!J3&gt;0,PSE!J3,"")</f>
        <v>48</v>
      </c>
      <c r="J3">
        <f>IF(PSE!K3&gt;0,PSE!K3,"")</f>
        <v>48</v>
      </c>
      <c r="K3">
        <f>IF(PSE!L3&gt;0,PSE!L3,"")</f>
        <v>48</v>
      </c>
      <c r="L3">
        <f>IF(PSE!M3&gt;0,PSE!M3,"")</f>
        <v>48</v>
      </c>
      <c r="M3">
        <f>IF(PSE!N3&gt;0,PSE!N3,"")</f>
        <v>48</v>
      </c>
      <c r="N3">
        <f>IF(PSE!O3&gt;0,PSE!O3,"")</f>
        <v>48</v>
      </c>
      <c r="O3">
        <f>IF(PSE!P3&gt;0,PSE!P3,"")</f>
        <v>48</v>
      </c>
      <c r="P3">
        <f>IF(PSE!Q3&gt;0,PSE!Q3,"")</f>
        <v>48</v>
      </c>
    </row>
    <row r="4" spans="1:16" x14ac:dyDescent="0.2">
      <c r="A4" t="str">
        <f>IF(PSE!B4&gt;0,PSE!B4,"")</f>
        <v>Plan</v>
      </c>
      <c r="B4">
        <f>IF(PSE!C4&gt;0,PSE!C4,"")</f>
        <v>40</v>
      </c>
      <c r="C4">
        <f>IF(PSE!D4&gt;0,PSE!D4,"")</f>
        <v>42</v>
      </c>
      <c r="D4">
        <f>IF(PSE!E4&gt;0,PSE!E4,"")</f>
        <v>44</v>
      </c>
      <c r="E4">
        <f>IF(PSE!F4&gt;0,PSE!F4,"")</f>
        <v>45</v>
      </c>
      <c r="F4">
        <f>IF(PSE!G4&gt;0,PSE!G4,"")</f>
        <v>47</v>
      </c>
      <c r="G4">
        <f>IF(PSE!H4&gt;0,PSE!H4,"")</f>
        <v>44</v>
      </c>
      <c r="H4">
        <f>IF(PSE!I4&gt;0,PSE!I4,"")</f>
        <v>45</v>
      </c>
      <c r="I4">
        <f>IF(PSE!J4&gt;0,PSE!J4,"")</f>
        <v>45</v>
      </c>
      <c r="J4">
        <f>IF(PSE!K4&gt;0,PSE!K4,"")</f>
        <v>45</v>
      </c>
      <c r="K4">
        <f>IF(PSE!L4&gt;0,PSE!L4,"")</f>
        <v>42</v>
      </c>
      <c r="L4">
        <f>IF(PSE!M4&gt;0,PSE!M4,"")</f>
        <v>41</v>
      </c>
      <c r="M4">
        <f>IF(PSE!N4&gt;0,PSE!N4,"")</f>
        <v>41</v>
      </c>
      <c r="N4">
        <f>IF(PSE!O4&gt;0,PSE!O4,"")</f>
        <v>32</v>
      </c>
      <c r="O4">
        <f>IF(PSE!P4&gt;0,PSE!P4,"")</f>
        <v>32</v>
      </c>
      <c r="P4">
        <f>IF(PSE!Q4&gt;0,PSE!Q4,"")</f>
        <v>32</v>
      </c>
    </row>
    <row r="5" spans="1:16" x14ac:dyDescent="0.2">
      <c r="A5" t="str">
        <f>IF(PSE!B11&gt;0,PSE!B11,"")</f>
        <v>PAYROLL</v>
      </c>
      <c r="B5">
        <f>IF(PSE!C11&gt;0,PSE!C11,"")</f>
        <v>24</v>
      </c>
      <c r="C5">
        <f>IF(PSE!D11&gt;0,PSE!D11,"")</f>
        <v>26</v>
      </c>
      <c r="D5">
        <f>IF(PSE!E11&gt;0,PSE!E11,"")</f>
        <v>26</v>
      </c>
      <c r="E5">
        <f>IF(PSE!F11&gt;0,PSE!F11,"")</f>
        <v>27</v>
      </c>
      <c r="F5">
        <f>IF(PSE!G11&gt;0,PSE!G11,"")</f>
        <v>27</v>
      </c>
      <c r="G5">
        <f>IF(PSE!H11&gt;0,PSE!H11,"")</f>
        <v>25</v>
      </c>
      <c r="H5">
        <f>IF(PSE!I11&gt;0,PSE!I11,"")</f>
        <v>27</v>
      </c>
      <c r="I5">
        <f>IF(PSE!J11&gt;0,PSE!J11,"")</f>
        <v>26</v>
      </c>
      <c r="J5">
        <f>IF(PSE!K11&gt;0,PSE!K11,"")</f>
        <v>26</v>
      </c>
      <c r="K5">
        <f>IF(PSE!L11&gt;0,PSE!L11,"")</f>
        <v>25</v>
      </c>
      <c r="L5">
        <f>IF(PSE!M11&gt;0,PSE!M11,"")</f>
        <v>24</v>
      </c>
      <c r="M5">
        <f>IF(PSE!N11&gt;0,PSE!N11,"")</f>
        <v>24</v>
      </c>
      <c r="N5">
        <f>IF(PSE!O11&gt;0,PSE!O11,"")</f>
        <v>19</v>
      </c>
      <c r="O5">
        <f>IF(PSE!P11&gt;0,PSE!P11,"")</f>
        <v>19</v>
      </c>
      <c r="P5">
        <f>IF(PSE!Q11&gt;0,PSE!Q11,"")</f>
        <v>19</v>
      </c>
    </row>
    <row r="6" spans="1:16" x14ac:dyDescent="0.2">
      <c r="A6" t="str">
        <f>IF(PSE!B15&gt;0,PSE!B15,"")</f>
        <v>CONTRACTOR</v>
      </c>
      <c r="B6">
        <f>IF(PSE!C15&gt;0,PSE!C15,"")</f>
        <v>16</v>
      </c>
      <c r="C6">
        <f>IF(PSE!D15&gt;0,PSE!D15,"")</f>
        <v>16</v>
      </c>
      <c r="D6">
        <f>IF(PSE!E15&gt;0,PSE!E15,"")</f>
        <v>18</v>
      </c>
      <c r="E6">
        <f>IF(PSE!F15&gt;0,PSE!F15,"")</f>
        <v>17</v>
      </c>
      <c r="F6">
        <f>IF(PSE!G15&gt;0,PSE!G15,"")</f>
        <v>17</v>
      </c>
      <c r="G6">
        <f>IF(PSE!H15&gt;0,PSE!H15,"")</f>
        <v>16</v>
      </c>
      <c r="H6">
        <f>IF(PSE!I15&gt;0,PSE!I15,"")</f>
        <v>16</v>
      </c>
      <c r="I6">
        <f>IF(PSE!J15&gt;0,PSE!J15,"")</f>
        <v>16</v>
      </c>
      <c r="J6">
        <f>IF(PSE!K15&gt;0,PSE!K15,"")</f>
        <v>16</v>
      </c>
      <c r="K6">
        <f>IF(PSE!L15&gt;0,PSE!L15,"")</f>
        <v>15</v>
      </c>
      <c r="L6">
        <f>IF(PSE!M15&gt;0,PSE!M15,"")</f>
        <v>15</v>
      </c>
      <c r="M6">
        <f>IF(PSE!N15&gt;0,PSE!N15,"")</f>
        <v>15</v>
      </c>
      <c r="N6">
        <f>IF(PSE!O15&gt;0,PSE!O15,"")</f>
        <v>13</v>
      </c>
      <c r="O6">
        <f>IF(PSE!P15&gt;0,PSE!P15,"")</f>
        <v>13</v>
      </c>
      <c r="P6">
        <f>IF(PSE!Q15&gt;0,PSE!Q15,"")</f>
        <v>13</v>
      </c>
    </row>
    <row r="7" spans="1:16" x14ac:dyDescent="0.2">
      <c r="A7" t="str">
        <f>IF(PSE!B19&gt;0,PSE!B19,"")</f>
        <v>OUTSOURCE</v>
      </c>
      <c r="B7" t="str">
        <f>IF(PSE!C19&gt;0,PSE!C19,"")</f>
        <v/>
      </c>
      <c r="C7" t="str">
        <f>IF(PSE!D19&gt;0,PSE!D19,"")</f>
        <v/>
      </c>
      <c r="D7" t="str">
        <f>IF(PSE!E19&gt;0,PSE!E19,"")</f>
        <v/>
      </c>
      <c r="E7">
        <f>IF(PSE!F19&gt;0,PSE!F19,"")</f>
        <v>1</v>
      </c>
      <c r="F7">
        <f>IF(PSE!G19&gt;0,PSE!G19,"")</f>
        <v>3</v>
      </c>
      <c r="G7">
        <f>IF(PSE!H19&gt;0,PSE!H19,"")</f>
        <v>3</v>
      </c>
      <c r="H7">
        <f>IF(PSE!I19&gt;0,PSE!I19,"")</f>
        <v>3</v>
      </c>
      <c r="I7">
        <f>IF(PSE!J19&gt;0,PSE!J19,"")</f>
        <v>3</v>
      </c>
      <c r="J7">
        <f>IF(PSE!K19&gt;0,PSE!K19,"")</f>
        <v>3</v>
      </c>
      <c r="K7">
        <f>IF(PSE!L19&gt;0,PSE!L19,"")</f>
        <v>2</v>
      </c>
      <c r="L7">
        <f>IF(PSE!M19&gt;0,PSE!M19,"")</f>
        <v>2</v>
      </c>
      <c r="M7">
        <f>IF(PSE!N19&gt;0,PSE!N19,"")</f>
        <v>2</v>
      </c>
      <c r="N7" t="str">
        <f>IF(PSE!O19&gt;0,PSE!O19,"")</f>
        <v/>
      </c>
      <c r="O7" t="str">
        <f>IF(PSE!P19&gt;0,PSE!P19,"")</f>
        <v/>
      </c>
      <c r="P7" t="str">
        <f>IF(PSE!Q19&gt;0,PSE!Q19,"")</f>
        <v/>
      </c>
    </row>
    <row r="11" spans="1:16" x14ac:dyDescent="0.2">
      <c r="B11" t="str">
        <f>IF(PSE!C1&gt;0,PSE!C1,"")</f>
        <v>JAN</v>
      </c>
      <c r="C11" t="str">
        <f>IF(PSE!D1&gt;0,PSE!D1,"")</f>
        <v>FEB</v>
      </c>
      <c r="D11" t="str">
        <f>IF(PSE!E1&gt;0,PSE!E1,"")</f>
        <v>MAR</v>
      </c>
      <c r="E11" t="str">
        <f>IF(PSE!F1&gt;0,PSE!F1,"")</f>
        <v>APR</v>
      </c>
      <c r="F11" t="str">
        <f>IF(PSE!G1&gt;0,PSE!G1,"")</f>
        <v>MAY</v>
      </c>
      <c r="G11" t="str">
        <f>IF(PSE!H1&gt;0,PSE!H1,"")</f>
        <v>JUN</v>
      </c>
      <c r="H11" t="str">
        <f>IF(PSE!I1&gt;0,PSE!I1,"")</f>
        <v>JUL</v>
      </c>
      <c r="I11" t="str">
        <f>IF(PSE!J1&gt;0,PSE!J1,"")</f>
        <v>AUG</v>
      </c>
      <c r="J11" t="str">
        <f>IF(PSE!K1&gt;0,PSE!K1,"")</f>
        <v>SEP</v>
      </c>
      <c r="K11" t="str">
        <f>IF(PSE!L1&gt;0,PSE!L1,"")</f>
        <v>OCT</v>
      </c>
      <c r="L11" t="str">
        <f>IF(PSE!M1&gt;0,PSE!M1,"")</f>
        <v>NOV</v>
      </c>
      <c r="M11" t="str">
        <f>IF(PSE!N1&gt;0,PSE!N1,"")</f>
        <v>DEC</v>
      </c>
      <c r="N11" t="str">
        <f>IF(PSE!O1&gt;0,PSE!O1,"")</f>
        <v>JAN'27</v>
      </c>
      <c r="O11" t="str">
        <f>IF(PSE!P1&gt;0,PSE!P1,"")</f>
        <v>FEB'27</v>
      </c>
      <c r="P11" t="str">
        <f>IF(PSE!Q1&gt;0,PSE!Q1,"")</f>
        <v>MAR'27</v>
      </c>
    </row>
    <row r="12" spans="1:16" x14ac:dyDescent="0.2">
      <c r="A12" t="str">
        <f>IF(PSE!B2&gt;0,PSE!B2,"")</f>
        <v>Staff</v>
      </c>
      <c r="B12">
        <f>IF(PSE!C9&gt;0,PSE!C9,"")</f>
        <v>28</v>
      </c>
      <c r="C12">
        <f>IF(PSE!D9&gt;0,PSE!D9,"")</f>
        <v>28</v>
      </c>
      <c r="D12">
        <f>IF(PSE!E9&gt;0,PSE!E9,"")</f>
        <v>27</v>
      </c>
      <c r="E12">
        <f>IF(PSE!F9&gt;0,PSE!F9,"")</f>
        <v>28</v>
      </c>
      <c r="F12">
        <f>IF(PSE!G9&gt;0,PSE!G9,"")</f>
        <v>28</v>
      </c>
      <c r="G12">
        <f>IF(PSE!H9&gt;0,PSE!H9,"")</f>
        <v>28</v>
      </c>
      <c r="H12">
        <f>IF(PSE!I9&gt;0,PSE!I9,"")</f>
        <v>28</v>
      </c>
      <c r="I12">
        <f>IF(PSE!J9&gt;0,PSE!J9,"")</f>
        <v>28</v>
      </c>
      <c r="J12">
        <f>IF(PSE!K9&gt;0,PSE!K9,"")</f>
        <v>28</v>
      </c>
      <c r="K12">
        <f>IF(PSE!L9&gt;0,PSE!L9,"")</f>
        <v>28</v>
      </c>
      <c r="L12">
        <f>IF(PSE!M9&gt;0,PSE!M9,"")</f>
        <v>28</v>
      </c>
      <c r="M12">
        <f>IF(PSE!N9&gt;0,PSE!N9,"")</f>
        <v>28</v>
      </c>
      <c r="N12">
        <f>IF(PSE!O9&gt;0,PSE!O9,"")</f>
        <v>28</v>
      </c>
      <c r="O12">
        <f>IF(PSE!P9&gt;0,PSE!P9,"")</f>
        <v>28</v>
      </c>
      <c r="P12">
        <f>IF(PSE!Q9&gt;0,PSE!Q9,"")</f>
        <v>28</v>
      </c>
    </row>
    <row r="13" spans="1:16" x14ac:dyDescent="0.2">
      <c r="A13" t="str">
        <f>IF(PSE!B3&gt;0,PSE!B3,"")</f>
        <v>Staff AVG</v>
      </c>
      <c r="B13">
        <f>IF(PSE!C10&gt;0,PSE!C10,"")</f>
        <v>28</v>
      </c>
      <c r="C13">
        <f>IF(PSE!D10&gt;0,PSE!D10,"")</f>
        <v>28</v>
      </c>
      <c r="D13">
        <f>IF(PSE!E10&gt;0,PSE!E10,"")</f>
        <v>28</v>
      </c>
      <c r="E13">
        <f>IF(PSE!F10&gt;0,PSE!F10,"")</f>
        <v>28</v>
      </c>
      <c r="F13">
        <f>IF(PSE!G10&gt;0,PSE!G10,"")</f>
        <v>28</v>
      </c>
      <c r="G13">
        <f>IF(PSE!H10&gt;0,PSE!H10,"")</f>
        <v>28</v>
      </c>
      <c r="H13">
        <f>IF(PSE!I10&gt;0,PSE!I10,"")</f>
        <v>28</v>
      </c>
      <c r="I13">
        <f>IF(PSE!J10&gt;0,PSE!J10,"")</f>
        <v>28</v>
      </c>
      <c r="J13">
        <f>IF(PSE!K10&gt;0,PSE!K10,"")</f>
        <v>28</v>
      </c>
      <c r="K13">
        <f>IF(PSE!L10&gt;0,PSE!L10,"")</f>
        <v>28</v>
      </c>
      <c r="L13">
        <f>IF(PSE!M10&gt;0,PSE!M10,"")</f>
        <v>28</v>
      </c>
      <c r="M13">
        <f>IF(PSE!N10&gt;0,PSE!N10,"")</f>
        <v>28</v>
      </c>
      <c r="N13">
        <f>IF(PSE!O10&gt;0,PSE!O10,"")</f>
        <v>28</v>
      </c>
      <c r="O13">
        <f>IF(PSE!P10&gt;0,PSE!P10,"")</f>
        <v>28</v>
      </c>
      <c r="P13">
        <f>IF(PSE!Q10&gt;0,PSE!Q10,"")</f>
        <v>28</v>
      </c>
    </row>
    <row r="14" spans="1:16" x14ac:dyDescent="0.2">
      <c r="A14" t="str">
        <f>IF(PSE!B4&gt;0,PSE!B4,"")</f>
        <v>Plan</v>
      </c>
      <c r="B14">
        <f>IF(PSE!C11&gt;0,PSE!C11,"")</f>
        <v>24</v>
      </c>
      <c r="C14">
        <f>IF(PSE!D11&gt;0,PSE!D11,"")</f>
        <v>26</v>
      </c>
      <c r="D14">
        <f>IF(PSE!E11&gt;0,PSE!E11,"")</f>
        <v>26</v>
      </c>
      <c r="E14">
        <f>IF(PSE!F11&gt;0,PSE!F11,"")</f>
        <v>27</v>
      </c>
      <c r="F14">
        <f>IF(PSE!G11&gt;0,PSE!G11,"")</f>
        <v>27</v>
      </c>
      <c r="G14">
        <f>IF(PSE!H11&gt;0,PSE!H11,"")</f>
        <v>25</v>
      </c>
      <c r="H14">
        <f>IF(PSE!I11&gt;0,PSE!I11,"")</f>
        <v>27</v>
      </c>
      <c r="I14">
        <f>IF(PSE!J11&gt;0,PSE!J11,"")</f>
        <v>26</v>
      </c>
      <c r="J14">
        <f>IF(PSE!K11&gt;0,PSE!K11,"")</f>
        <v>26</v>
      </c>
      <c r="K14">
        <f>IF(PSE!L11&gt;0,PSE!L11,"")</f>
        <v>25</v>
      </c>
      <c r="L14">
        <f>IF(PSE!M11&gt;0,PSE!M11,"")</f>
        <v>24</v>
      </c>
      <c r="M14">
        <f>IF(PSE!N11&gt;0,PSE!N11,"")</f>
        <v>24</v>
      </c>
      <c r="N14">
        <f>IF(PSE!O11&gt;0,PSE!O11,"")</f>
        <v>19</v>
      </c>
      <c r="O14">
        <f>IF(PSE!P11&gt;0,PSE!P11,"")</f>
        <v>19</v>
      </c>
      <c r="P14">
        <f>IF(PSE!Q11&gt;0,PSE!Q11,"")</f>
        <v>19</v>
      </c>
    </row>
    <row r="21" spans="1:16" x14ac:dyDescent="0.2">
      <c r="B21" t="str">
        <f>IF(PSE!C1&gt;0,PSE!C1,"")</f>
        <v>JAN</v>
      </c>
      <c r="C21" t="str">
        <f>IF(PSE!D1&gt;0,PSE!D1,"")</f>
        <v>FEB</v>
      </c>
      <c r="D21" t="str">
        <f>IF(PSE!E1&gt;0,PSE!E1,"")</f>
        <v>MAR</v>
      </c>
      <c r="E21" t="str">
        <f>IF(PSE!F1&gt;0,PSE!F1,"")</f>
        <v>APR</v>
      </c>
      <c r="F21" t="str">
        <f>IF(PSE!G1&gt;0,PSE!G1,"")</f>
        <v>MAY</v>
      </c>
      <c r="G21" t="str">
        <f>IF(PSE!H1&gt;0,PSE!H1,"")</f>
        <v>JUN</v>
      </c>
      <c r="H21" t="str">
        <f>IF(PSE!I1&gt;0,PSE!I1,"")</f>
        <v>JUL</v>
      </c>
      <c r="I21" t="str">
        <f>IF(PSE!J1&gt;0,PSE!J1,"")</f>
        <v>AUG</v>
      </c>
      <c r="J21" t="str">
        <f>IF(PSE!K1&gt;0,PSE!K1,"")</f>
        <v>SEP</v>
      </c>
      <c r="K21" t="str">
        <f>IF(PSE!L1&gt;0,PSE!L1,"")</f>
        <v>OCT</v>
      </c>
      <c r="L21" t="str">
        <f>IF(PSE!M1&gt;0,PSE!M1,"")</f>
        <v>NOV</v>
      </c>
      <c r="M21" t="str">
        <f>IF(PSE!N1&gt;0,PSE!N1,"")</f>
        <v>DEC</v>
      </c>
      <c r="N21" t="str">
        <f>IF(PSE!O1&gt;0,PSE!O1,"")</f>
        <v>JAN'27</v>
      </c>
      <c r="O21" t="str">
        <f>IF(PSE!P1&gt;0,PSE!P1,"")</f>
        <v>FEB'27</v>
      </c>
      <c r="P21" t="str">
        <f>IF(PSE!Q1&gt;0,PSE!Q1,"")</f>
        <v>MAR'27</v>
      </c>
    </row>
    <row r="22" spans="1:16" x14ac:dyDescent="0.2">
      <c r="A22" t="str">
        <f>IF(PSE!B2&gt;0,PSE!B2,"")</f>
        <v>Staff</v>
      </c>
      <c r="B22">
        <f>IF(PSE!C13&gt;0,PSE!C13,"")</f>
        <v>17</v>
      </c>
      <c r="C22">
        <f>IF(PSE!D13&gt;0,PSE!D13,"")</f>
        <v>17</v>
      </c>
      <c r="D22">
        <f>IF(PSE!E13&gt;0,PSE!E13,"")</f>
        <v>17</v>
      </c>
      <c r="E22">
        <f>IF(PSE!F13&gt;0,PSE!F13,"")</f>
        <v>17</v>
      </c>
      <c r="F22">
        <f>IF(PSE!G13&gt;0,PSE!G13,"")</f>
        <v>17</v>
      </c>
      <c r="G22">
        <f>IF(PSE!H13&gt;0,PSE!H13,"")</f>
        <v>17</v>
      </c>
      <c r="H22">
        <f>IF(PSE!I13&gt;0,PSE!I13,"")</f>
        <v>17</v>
      </c>
      <c r="I22">
        <f>IF(PSE!J13&gt;0,PSE!J13,"")</f>
        <v>17</v>
      </c>
      <c r="J22">
        <f>IF(PSE!K13&gt;0,PSE!K13,"")</f>
        <v>17</v>
      </c>
      <c r="K22">
        <f>IF(PSE!L13&gt;0,PSE!L13,"")</f>
        <v>17</v>
      </c>
      <c r="L22">
        <f>IF(PSE!M13&gt;0,PSE!M13,"")</f>
        <v>17</v>
      </c>
      <c r="M22">
        <f>IF(PSE!N13&gt;0,PSE!N13,"")</f>
        <v>17</v>
      </c>
      <c r="N22">
        <f>IF(PSE!O13&gt;0,PSE!O13,"")</f>
        <v>17</v>
      </c>
      <c r="O22">
        <f>IF(PSE!P13&gt;0,PSE!P13,"")</f>
        <v>17</v>
      </c>
      <c r="P22">
        <f>IF(PSE!Q13&gt;0,PSE!Q13,"")</f>
        <v>17</v>
      </c>
    </row>
    <row r="23" spans="1:16" x14ac:dyDescent="0.2">
      <c r="A23" t="str">
        <f>IF(PSE!B3&gt;0,PSE!B3,"")</f>
        <v>Staff AVG</v>
      </c>
      <c r="B23">
        <f>IF(PSE!C14&gt;0,PSE!C14,"")</f>
        <v>17</v>
      </c>
      <c r="C23">
        <f>IF(PSE!D14&gt;0,PSE!D14,"")</f>
        <v>17</v>
      </c>
      <c r="D23">
        <f>IF(PSE!E14&gt;0,PSE!E14,"")</f>
        <v>17</v>
      </c>
      <c r="E23">
        <f>IF(PSE!F14&gt;0,PSE!F14,"")</f>
        <v>17</v>
      </c>
      <c r="F23">
        <f>IF(PSE!G14&gt;0,PSE!G14,"")</f>
        <v>17</v>
      </c>
      <c r="G23">
        <f>IF(PSE!H14&gt;0,PSE!H14,"")</f>
        <v>17</v>
      </c>
      <c r="H23">
        <f>IF(PSE!I14&gt;0,PSE!I14,"")</f>
        <v>17</v>
      </c>
      <c r="I23">
        <f>IF(PSE!J14&gt;0,PSE!J14,"")</f>
        <v>17</v>
      </c>
      <c r="J23">
        <f>IF(PSE!K14&gt;0,PSE!K14,"")</f>
        <v>17</v>
      </c>
      <c r="K23">
        <f>IF(PSE!L14&gt;0,PSE!L14,"")</f>
        <v>17</v>
      </c>
      <c r="L23">
        <f>IF(PSE!M14&gt;0,PSE!M14,"")</f>
        <v>17</v>
      </c>
      <c r="M23">
        <f>IF(PSE!N14&gt;0,PSE!N14,"")</f>
        <v>17</v>
      </c>
      <c r="N23">
        <f>IF(PSE!O14&gt;0,PSE!O14,"")</f>
        <v>17</v>
      </c>
      <c r="O23">
        <f>IF(PSE!P14&gt;0,PSE!P14,"")</f>
        <v>17</v>
      </c>
      <c r="P23">
        <f>IF(PSE!Q14&gt;0,PSE!Q14,"")</f>
        <v>17</v>
      </c>
    </row>
    <row r="24" spans="1:16" x14ac:dyDescent="0.2">
      <c r="A24" t="str">
        <f>IF(PSE!B4&gt;0,PSE!B4,"")</f>
        <v>Plan</v>
      </c>
      <c r="B24">
        <f>IF(PSE!C15&gt;0,PSE!C15,"")</f>
        <v>16</v>
      </c>
      <c r="C24">
        <f>IF(PSE!D15&gt;0,PSE!D15,"")</f>
        <v>16</v>
      </c>
      <c r="D24">
        <f>IF(PSE!E15&gt;0,PSE!E15,"")</f>
        <v>18</v>
      </c>
      <c r="E24">
        <f>IF(PSE!F15&gt;0,PSE!F15,"")</f>
        <v>17</v>
      </c>
      <c r="F24">
        <f>IF(PSE!G15&gt;0,PSE!G15,"")</f>
        <v>17</v>
      </c>
      <c r="G24">
        <f>IF(PSE!H15&gt;0,PSE!H15,"")</f>
        <v>16</v>
      </c>
      <c r="H24">
        <f>IF(PSE!I15&gt;0,PSE!I15,"")</f>
        <v>16</v>
      </c>
      <c r="I24">
        <f>IF(PSE!J15&gt;0,PSE!J15,"")</f>
        <v>16</v>
      </c>
      <c r="J24">
        <f>IF(PSE!K15&gt;0,PSE!K15,"")</f>
        <v>16</v>
      </c>
      <c r="K24">
        <f>IF(PSE!L15&gt;0,PSE!L15,"")</f>
        <v>15</v>
      </c>
      <c r="L24">
        <f>IF(PSE!M15&gt;0,PSE!M15,"")</f>
        <v>15</v>
      </c>
      <c r="M24">
        <f>IF(PSE!N15&gt;0,PSE!N15,"")</f>
        <v>15</v>
      </c>
      <c r="N24">
        <f>IF(PSE!O15&gt;0,PSE!O15,"")</f>
        <v>13</v>
      </c>
      <c r="O24">
        <f>IF(PSE!P15&gt;0,PSE!P15,"")</f>
        <v>13</v>
      </c>
      <c r="P24">
        <f>IF(PSE!Q15&gt;0,PSE!Q15,"")</f>
        <v>13</v>
      </c>
    </row>
    <row r="31" spans="1:16" x14ac:dyDescent="0.2">
      <c r="B31" t="str">
        <f>IF(PSE!C1&gt;0,PSE!C1,"")</f>
        <v>JAN</v>
      </c>
      <c r="C31" t="str">
        <f>IF(PSE!D1&gt;0,PSE!D1,"")</f>
        <v>FEB</v>
      </c>
      <c r="D31" t="str">
        <f>IF(PSE!E1&gt;0,PSE!E1,"")</f>
        <v>MAR</v>
      </c>
      <c r="E31" t="str">
        <f>IF(PSE!F1&gt;0,PSE!F1,"")</f>
        <v>APR</v>
      </c>
      <c r="F31" t="str">
        <f>IF(PSE!G1&gt;0,PSE!G1,"")</f>
        <v>MAY</v>
      </c>
      <c r="G31" t="str">
        <f>IF(PSE!H1&gt;0,PSE!H1,"")</f>
        <v>JUN</v>
      </c>
      <c r="H31" t="str">
        <f>IF(PSE!I1&gt;0,PSE!I1,"")</f>
        <v>JUL</v>
      </c>
      <c r="I31" t="str">
        <f>IF(PSE!J1&gt;0,PSE!J1,"")</f>
        <v>AUG</v>
      </c>
      <c r="J31" t="str">
        <f>IF(PSE!K1&gt;0,PSE!K1,"")</f>
        <v>SEP</v>
      </c>
      <c r="K31" t="str">
        <f>IF(PSE!L1&gt;0,PSE!L1,"")</f>
        <v>OCT</v>
      </c>
      <c r="L31" t="str">
        <f>IF(PSE!M1&gt;0,PSE!M1,"")</f>
        <v>NOV</v>
      </c>
      <c r="M31" t="str">
        <f>IF(PSE!N1&gt;0,PSE!N1,"")</f>
        <v>DEC</v>
      </c>
      <c r="N31" t="str">
        <f>IF(PSE!O1&gt;0,PSE!O1,"")</f>
        <v>JAN'27</v>
      </c>
      <c r="O31" t="str">
        <f>IF(PSE!P1&gt;0,PSE!P1,"")</f>
        <v>FEB'27</v>
      </c>
      <c r="P31" t="str">
        <f>IF(PSE!Q1&gt;0,PSE!Q1,"")</f>
        <v>MAR'27</v>
      </c>
    </row>
    <row r="32" spans="1:16" x14ac:dyDescent="0.2">
      <c r="A32" t="str">
        <f>IF(PSE!B2&gt;0,PSE!B2,"")</f>
        <v>Staff</v>
      </c>
      <c r="B32" t="str">
        <f>IF(PSE!C17&gt;0,PSE!C17,"")</f>
        <v/>
      </c>
      <c r="C32" t="str">
        <f>IF(PSE!D17&gt;0,PSE!D17,"")</f>
        <v/>
      </c>
      <c r="D32">
        <f>IF(PSE!E17&gt;0,PSE!E17,"")</f>
        <v>1</v>
      </c>
      <c r="E32">
        <f>IF(PSE!F17&gt;0,PSE!F17,"")</f>
        <v>3</v>
      </c>
      <c r="F32">
        <f>IF(PSE!G17&gt;0,PSE!G17,"")</f>
        <v>3</v>
      </c>
      <c r="G32">
        <f>IF(PSE!H17&gt;0,PSE!H17,"")</f>
        <v>3</v>
      </c>
      <c r="H32">
        <f>IF(PSE!I17&gt;0,PSE!I17,"")</f>
        <v>3</v>
      </c>
      <c r="I32">
        <f>IF(PSE!J17&gt;0,PSE!J17,"")</f>
        <v>3</v>
      </c>
      <c r="J32">
        <f>IF(PSE!K17&gt;0,PSE!K17,"")</f>
        <v>3</v>
      </c>
      <c r="K32">
        <f>IF(PSE!L17&gt;0,PSE!L17,"")</f>
        <v>3</v>
      </c>
      <c r="L32">
        <f>IF(PSE!M17&gt;0,PSE!M17,"")</f>
        <v>3</v>
      </c>
      <c r="M32">
        <f>IF(PSE!N17&gt;0,PSE!N17,"")</f>
        <v>3</v>
      </c>
      <c r="N32">
        <f>IF(PSE!O17&gt;0,PSE!O17,"")</f>
        <v>3</v>
      </c>
      <c r="O32">
        <f>IF(PSE!P17&gt;0,PSE!P17,"")</f>
        <v>3</v>
      </c>
      <c r="P32">
        <f>IF(PSE!Q17&gt;0,PSE!Q17,"")</f>
        <v>3</v>
      </c>
    </row>
    <row r="33" spans="1:16" x14ac:dyDescent="0.2">
      <c r="A33" t="str">
        <f>IF(PSE!B3&gt;0,PSE!B3,"")</f>
        <v>Staff AVG</v>
      </c>
      <c r="B33">
        <f>IF(PSE!C18&gt;0,PSE!C18,"")</f>
        <v>2</v>
      </c>
      <c r="C33">
        <f>IF(PSE!D18&gt;0,PSE!D18,"")</f>
        <v>2</v>
      </c>
      <c r="D33">
        <f>IF(PSE!E18&gt;0,PSE!E18,"")</f>
        <v>2</v>
      </c>
      <c r="E33">
        <f>IF(PSE!F18&gt;0,PSE!F18,"")</f>
        <v>2</v>
      </c>
      <c r="F33">
        <f>IF(PSE!G18&gt;0,PSE!G18,"")</f>
        <v>2</v>
      </c>
      <c r="G33">
        <f>IF(PSE!H18&gt;0,PSE!H18,"")</f>
        <v>2</v>
      </c>
      <c r="H33">
        <f>IF(PSE!I18&gt;0,PSE!I18,"")</f>
        <v>2</v>
      </c>
      <c r="I33">
        <f>IF(PSE!J18&gt;0,PSE!J18,"")</f>
        <v>2</v>
      </c>
      <c r="J33">
        <f>IF(PSE!K18&gt;0,PSE!K18,"")</f>
        <v>2</v>
      </c>
      <c r="K33">
        <f>IF(PSE!L18&gt;0,PSE!L18,"")</f>
        <v>2</v>
      </c>
      <c r="L33">
        <f>IF(PSE!M18&gt;0,PSE!M18,"")</f>
        <v>2</v>
      </c>
      <c r="M33">
        <f>IF(PSE!N18&gt;0,PSE!N18,"")</f>
        <v>2</v>
      </c>
      <c r="N33">
        <f>IF(PSE!O18&gt;0,PSE!O18,"")</f>
        <v>2</v>
      </c>
      <c r="O33">
        <f>IF(PSE!P18&gt;0,PSE!P18,"")</f>
        <v>2</v>
      </c>
      <c r="P33">
        <f>IF(PSE!Q18&gt;0,PSE!Q18,"")</f>
        <v>2</v>
      </c>
    </row>
    <row r="34" spans="1:16" x14ac:dyDescent="0.2">
      <c r="A34" t="str">
        <f>IF(PSE!B4&gt;0,PSE!B4,"")</f>
        <v>Plan</v>
      </c>
      <c r="B34" t="str">
        <f>IF(PSE!C19&gt;0,PSE!C19,"")</f>
        <v/>
      </c>
      <c r="C34" t="str">
        <f>IF(PSE!D19&gt;0,PSE!D19,"")</f>
        <v/>
      </c>
      <c r="D34" t="str">
        <f>IF(PSE!E19&gt;0,PSE!E19,"")</f>
        <v/>
      </c>
      <c r="E34">
        <f>IF(PSE!F19&gt;0,PSE!F19,"")</f>
        <v>1</v>
      </c>
      <c r="F34">
        <f>IF(PSE!G19&gt;0,PSE!G19,"")</f>
        <v>3</v>
      </c>
      <c r="G34">
        <f>IF(PSE!H19&gt;0,PSE!H19,"")</f>
        <v>3</v>
      </c>
      <c r="H34">
        <f>IF(PSE!I19&gt;0,PSE!I19,"")</f>
        <v>3</v>
      </c>
      <c r="I34">
        <f>IF(PSE!J19&gt;0,PSE!J19,"")</f>
        <v>3</v>
      </c>
      <c r="J34">
        <f>IF(PSE!K19&gt;0,PSE!K19,"")</f>
        <v>3</v>
      </c>
      <c r="K34">
        <f>IF(PSE!L19&gt;0,PSE!L19,"")</f>
        <v>2</v>
      </c>
      <c r="L34">
        <f>IF(PSE!M19&gt;0,PSE!M19,"")</f>
        <v>2</v>
      </c>
      <c r="M34">
        <f>IF(PSE!N19&gt;0,PSE!N19,"")</f>
        <v>2</v>
      </c>
      <c r="N34" t="str">
        <f>IF(PSE!O19&gt;0,PSE!O19,"")</f>
        <v/>
      </c>
      <c r="O34" t="str">
        <f>IF(PSE!P19&gt;0,PSE!P19,"")</f>
        <v/>
      </c>
      <c r="P34" t="str">
        <f>IF(PSE!Q19&gt;0,PSE!Q19,"")</f>
        <v/>
      </c>
    </row>
    <row r="41" spans="1:16" x14ac:dyDescent="0.2">
      <c r="B41" t="str">
        <f>IF(PSE!C31&gt;0,PSE!C31,"")</f>
        <v>Q1</v>
      </c>
      <c r="C41" t="str">
        <f>IF(PSE!D31&gt;0,PSE!D31,"")</f>
        <v>Q2</v>
      </c>
      <c r="D41" t="str">
        <f>IF(PSE!E31&gt;0,PSE!E31,"")</f>
        <v>Q3</v>
      </c>
      <c r="E41" t="str">
        <f>IF(PSE!F31&gt;0,PSE!F31,"")</f>
        <v>Q4</v>
      </c>
      <c r="F41" t="str">
        <f>IF(PSE!G31&gt;0,PSE!G31,"")</f>
        <v>Q1'27</v>
      </c>
    </row>
    <row r="42" spans="1:16" x14ac:dyDescent="0.2">
      <c r="A42" t="str">
        <f>IF(PSE!B32&gt;0,PSE!B32,"")</f>
        <v>Staff</v>
      </c>
      <c r="B42">
        <f>IF(PSE!C32&gt;0,PSE!C32,"")</f>
        <v>45</v>
      </c>
      <c r="C42">
        <f>IF(PSE!D32&gt;0,PSE!D32,"")</f>
        <v>48</v>
      </c>
      <c r="D42">
        <f>IF(PSE!E32&gt;0,PSE!E32,"")</f>
        <v>48</v>
      </c>
      <c r="E42">
        <f>IF(PSE!F32&gt;0,PSE!F32,"")</f>
        <v>48</v>
      </c>
      <c r="F42">
        <f>IF(PSE!G32&gt;0,PSE!G32,"")</f>
        <v>48</v>
      </c>
    </row>
    <row r="43" spans="1:16" x14ac:dyDescent="0.2">
      <c r="A43" t="str">
        <f>IF(PSE!B33&gt;0,PSE!B33,"")</f>
        <v>Staff AVG</v>
      </c>
      <c r="B43">
        <f>IF(PSE!C33&gt;0,PSE!C33,"")</f>
        <v>47</v>
      </c>
      <c r="C43">
        <f>IF(PSE!D33&gt;0,PSE!D33,"")</f>
        <v>48</v>
      </c>
      <c r="D43">
        <f>IF(PSE!E33&gt;0,PSE!E33,"")</f>
        <v>48</v>
      </c>
      <c r="E43">
        <f>IF(PSE!F33&gt;0,PSE!F33,"")</f>
        <v>48</v>
      </c>
      <c r="F43">
        <f>IF(PSE!G33&gt;0,PSE!G33,"")</f>
        <v>48</v>
      </c>
    </row>
    <row r="44" spans="1:16" x14ac:dyDescent="0.2">
      <c r="A44" t="str">
        <f>IF(PSE!B34&gt;0,PSE!B34,"")</f>
        <v>Plan</v>
      </c>
      <c r="B44">
        <f>IF(PSE!C34&gt;0,PSE!C34,"")</f>
        <v>42</v>
      </c>
      <c r="C44">
        <f>IF(PSE!D34&gt;0,PSE!D34,"")</f>
        <v>45</v>
      </c>
      <c r="D44">
        <f>IF(PSE!E34&gt;0,PSE!E34,"")</f>
        <v>45</v>
      </c>
      <c r="E44">
        <f>IF(PSE!F34&gt;0,PSE!F34,"")</f>
        <v>41</v>
      </c>
      <c r="F44">
        <f>IF(PSE!G34&gt;0,PSE!G34,"")</f>
        <v>38</v>
      </c>
    </row>
    <row r="45" spans="1:16" x14ac:dyDescent="0.2">
      <c r="A45" t="str">
        <f>IF(PSE!B41&gt;0,PSE!B41,"")</f>
        <v>PAYROLL</v>
      </c>
      <c r="B45">
        <f>IF(PSE!C41&gt;0,PSE!C41,"")</f>
        <v>26</v>
      </c>
      <c r="C45">
        <f>IF(PSE!D41&gt;0,PSE!D41,"")</f>
        <v>27</v>
      </c>
      <c r="D45">
        <f>IF(PSE!E41&gt;0,PSE!E41,"")</f>
        <v>26</v>
      </c>
      <c r="E45">
        <f>IF(PSE!F41&gt;0,PSE!F41,"")</f>
        <v>24</v>
      </c>
      <c r="F45">
        <f>IF(PSE!G41&gt;0,PSE!G41,"")</f>
        <v>22</v>
      </c>
    </row>
    <row r="46" spans="1:16" x14ac:dyDescent="0.2">
      <c r="A46" t="str">
        <f>IF(PSE!B45&gt;0,PSE!B45,"")</f>
        <v>CONTRACTOR</v>
      </c>
      <c r="B46">
        <f>IF(PSE!C45&gt;0,PSE!C45,"")</f>
        <v>17</v>
      </c>
      <c r="C46">
        <f>IF(PSE!D45&gt;0,PSE!D45,"")</f>
        <v>17</v>
      </c>
      <c r="D46">
        <f>IF(PSE!E45&gt;0,PSE!E45,"")</f>
        <v>16</v>
      </c>
      <c r="E46">
        <f>IF(PSE!F45&gt;0,PSE!F45,"")</f>
        <v>15</v>
      </c>
      <c r="F46">
        <f>IF(PSE!G45&gt;0,PSE!G45,"")</f>
        <v>14</v>
      </c>
    </row>
    <row r="47" spans="1:16" x14ac:dyDescent="0.2">
      <c r="A47" t="str">
        <f>IF(PSE!B49&gt;0,PSE!B49,"")</f>
        <v>OUTSOURCE</v>
      </c>
      <c r="B47" t="str">
        <f>IF(PSE!C49&gt;0,PSE!C49,"")</f>
        <v/>
      </c>
      <c r="C47">
        <f>IF(PSE!D49&gt;0,PSE!D49,"")</f>
        <v>2</v>
      </c>
      <c r="D47">
        <f>IF(PSE!E49&gt;0,PSE!E49,"")</f>
        <v>3</v>
      </c>
      <c r="E47">
        <f>IF(PSE!F49&gt;0,PSE!F49,"")</f>
        <v>2</v>
      </c>
      <c r="F47">
        <f>IF(PSE!G49&gt;0,PSE!G49,"")</f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35CCF-D520-E042-A4A6-56A7360DBCC0}">
  <sheetPr>
    <tabColor theme="8"/>
  </sheetPr>
  <dimension ref="A1:Q49"/>
  <sheetViews>
    <sheetView workbookViewId="0">
      <selection activeCell="C31" sqref="C31:G4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33</v>
      </c>
      <c r="B2" s="7" t="s">
        <v>16</v>
      </c>
      <c r="C2" s="8">
        <v>43</v>
      </c>
      <c r="D2" s="8">
        <v>45</v>
      </c>
      <c r="E2" s="8">
        <v>46</v>
      </c>
      <c r="F2" s="8">
        <v>46</v>
      </c>
      <c r="G2" s="8">
        <v>46</v>
      </c>
      <c r="H2" s="8">
        <v>46</v>
      </c>
      <c r="I2" s="8">
        <v>46</v>
      </c>
      <c r="J2" s="8">
        <v>46</v>
      </c>
      <c r="K2" s="8">
        <v>46</v>
      </c>
      <c r="L2" s="8">
        <v>46</v>
      </c>
      <c r="M2" s="8">
        <v>46</v>
      </c>
      <c r="N2" s="8">
        <v>46</v>
      </c>
      <c r="O2" s="8">
        <v>46</v>
      </c>
      <c r="P2" s="8">
        <v>46</v>
      </c>
      <c r="Q2" s="8">
        <v>46</v>
      </c>
    </row>
    <row r="3" spans="1:17" x14ac:dyDescent="0.2">
      <c r="A3" s="12" t="s">
        <v>33</v>
      </c>
      <c r="B3" s="9" t="s">
        <v>17</v>
      </c>
      <c r="C3" s="8">
        <v>46</v>
      </c>
      <c r="D3" s="8">
        <v>46</v>
      </c>
      <c r="E3" s="8">
        <v>46</v>
      </c>
      <c r="F3" s="8">
        <v>46</v>
      </c>
      <c r="G3" s="8">
        <v>46</v>
      </c>
      <c r="H3" s="8">
        <v>46</v>
      </c>
      <c r="I3" s="8">
        <v>46</v>
      </c>
      <c r="J3" s="8">
        <v>46</v>
      </c>
      <c r="K3" s="8">
        <v>46</v>
      </c>
      <c r="L3" s="8">
        <v>46</v>
      </c>
      <c r="M3" s="8">
        <v>46</v>
      </c>
      <c r="N3" s="8">
        <v>46</v>
      </c>
      <c r="O3" s="8">
        <v>46</v>
      </c>
      <c r="P3" s="8">
        <v>46</v>
      </c>
      <c r="Q3" s="8">
        <v>46</v>
      </c>
    </row>
    <row r="4" spans="1:17" x14ac:dyDescent="0.2">
      <c r="A4" s="13" t="s">
        <v>33</v>
      </c>
      <c r="B4" s="10" t="s">
        <v>18</v>
      </c>
      <c r="C4" s="8">
        <v>40</v>
      </c>
      <c r="D4" s="14">
        <v>46</v>
      </c>
      <c r="E4" s="14">
        <v>48</v>
      </c>
      <c r="F4" s="8">
        <v>44</v>
      </c>
      <c r="G4" s="14">
        <v>46</v>
      </c>
      <c r="H4" s="14">
        <v>46</v>
      </c>
      <c r="I4" s="14">
        <v>48</v>
      </c>
      <c r="J4" s="14">
        <v>46</v>
      </c>
      <c r="K4" s="8">
        <v>45</v>
      </c>
      <c r="L4" s="8">
        <v>42</v>
      </c>
      <c r="M4" s="8">
        <v>42</v>
      </c>
      <c r="N4" s="8">
        <v>42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0.94089999999999996</v>
      </c>
      <c r="D6" s="19">
        <v>1.0186999999999999</v>
      </c>
      <c r="E6" s="19">
        <v>1.0399</v>
      </c>
      <c r="F6" s="19">
        <v>0.95079999999999998</v>
      </c>
      <c r="G6" s="19">
        <v>1.0044999999999999</v>
      </c>
      <c r="H6" s="19">
        <v>1.0102</v>
      </c>
      <c r="I6" s="19">
        <v>1.0387</v>
      </c>
      <c r="J6" s="19">
        <v>1.0035000000000001</v>
      </c>
      <c r="K6" s="19">
        <v>0.98709999999999998</v>
      </c>
      <c r="L6" s="19">
        <v>0.92390000000000005</v>
      </c>
      <c r="M6" s="19">
        <v>0.91090000000000004</v>
      </c>
      <c r="N6" s="19">
        <v>0.9022</v>
      </c>
      <c r="O6" s="19">
        <v>0.70440000000000003</v>
      </c>
      <c r="P6" s="19">
        <v>0.69789999999999996</v>
      </c>
      <c r="Q6" s="19">
        <v>0.69789999999999996</v>
      </c>
    </row>
    <row r="7" spans="1:17" x14ac:dyDescent="0.2">
      <c r="A7" s="17"/>
      <c r="B7" s="18" t="s">
        <v>24</v>
      </c>
      <c r="C7" s="20">
        <v>3</v>
      </c>
      <c r="D7" s="20">
        <v>-1</v>
      </c>
      <c r="E7" s="20">
        <v>-2</v>
      </c>
      <c r="F7" s="20">
        <v>2</v>
      </c>
      <c r="G7" s="20">
        <v>0</v>
      </c>
      <c r="H7" s="20">
        <v>0</v>
      </c>
      <c r="I7" s="20">
        <v>-2</v>
      </c>
      <c r="J7" s="20">
        <v>0</v>
      </c>
      <c r="K7" s="20">
        <v>1</v>
      </c>
      <c r="L7" s="20">
        <v>4</v>
      </c>
      <c r="M7" s="20">
        <v>4</v>
      </c>
      <c r="N7" s="20">
        <v>4</v>
      </c>
      <c r="O7" s="20">
        <v>14</v>
      </c>
      <c r="P7" s="20">
        <v>14</v>
      </c>
      <c r="Q7" s="20">
        <v>14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35</v>
      </c>
      <c r="D9" s="8">
        <v>35</v>
      </c>
      <c r="E9" s="8">
        <v>35</v>
      </c>
      <c r="F9" s="8">
        <v>35</v>
      </c>
      <c r="G9" s="8">
        <v>35</v>
      </c>
      <c r="H9" s="8">
        <v>35</v>
      </c>
      <c r="I9" s="8">
        <v>35</v>
      </c>
      <c r="J9" s="8">
        <v>35</v>
      </c>
      <c r="K9" s="8">
        <v>35</v>
      </c>
      <c r="L9" s="8">
        <v>35</v>
      </c>
      <c r="M9" s="8">
        <v>35</v>
      </c>
      <c r="N9" s="8">
        <v>35</v>
      </c>
      <c r="O9" s="8">
        <v>35</v>
      </c>
      <c r="P9" s="8">
        <v>35</v>
      </c>
      <c r="Q9" s="8">
        <v>35</v>
      </c>
    </row>
    <row r="10" spans="1:17" x14ac:dyDescent="0.2">
      <c r="A10" s="9" t="s">
        <v>17</v>
      </c>
      <c r="B10" s="12" t="s">
        <v>19</v>
      </c>
      <c r="C10" s="8">
        <v>35</v>
      </c>
      <c r="D10" s="8">
        <v>35</v>
      </c>
      <c r="E10" s="8">
        <v>35</v>
      </c>
      <c r="F10" s="8">
        <v>35</v>
      </c>
      <c r="G10" s="8">
        <v>35</v>
      </c>
      <c r="H10" s="8">
        <v>35</v>
      </c>
      <c r="I10" s="8">
        <v>35</v>
      </c>
      <c r="J10" s="8">
        <v>35</v>
      </c>
      <c r="K10" s="8">
        <v>35</v>
      </c>
      <c r="L10" s="8">
        <v>35</v>
      </c>
      <c r="M10" s="8">
        <v>35</v>
      </c>
      <c r="N10" s="8">
        <v>35</v>
      </c>
      <c r="O10" s="8">
        <v>35</v>
      </c>
      <c r="P10" s="8">
        <v>35</v>
      </c>
      <c r="Q10" s="8">
        <v>35</v>
      </c>
    </row>
    <row r="11" spans="1:17" x14ac:dyDescent="0.2">
      <c r="A11" s="16" t="s">
        <v>18</v>
      </c>
      <c r="B11" s="13" t="s">
        <v>19</v>
      </c>
      <c r="C11" s="8">
        <v>33</v>
      </c>
      <c r="D11" s="14">
        <v>35</v>
      </c>
      <c r="E11" s="14">
        <v>36</v>
      </c>
      <c r="F11" s="8">
        <v>33</v>
      </c>
      <c r="G11" s="8">
        <v>34</v>
      </c>
      <c r="H11" s="8">
        <v>34</v>
      </c>
      <c r="I11" s="8">
        <v>33</v>
      </c>
      <c r="J11" s="8">
        <v>32</v>
      </c>
      <c r="K11" s="8">
        <v>31</v>
      </c>
      <c r="L11" s="8">
        <v>30</v>
      </c>
      <c r="M11" s="8">
        <v>30</v>
      </c>
      <c r="N11" s="8">
        <v>29</v>
      </c>
      <c r="O11" s="8">
        <v>23</v>
      </c>
      <c r="P11" s="8">
        <v>23</v>
      </c>
      <c r="Q11" s="8">
        <v>23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9</v>
      </c>
      <c r="F17" s="8">
        <v>9</v>
      </c>
      <c r="G17" s="8">
        <v>9</v>
      </c>
      <c r="H17" s="8">
        <v>9</v>
      </c>
      <c r="I17" s="8">
        <v>9</v>
      </c>
      <c r="J17" s="8">
        <v>9</v>
      </c>
      <c r="K17" s="8">
        <v>9</v>
      </c>
      <c r="L17" s="8">
        <v>9</v>
      </c>
      <c r="M17" s="8">
        <v>9</v>
      </c>
      <c r="N17" s="8">
        <v>9</v>
      </c>
      <c r="O17" s="8">
        <v>9</v>
      </c>
      <c r="P17" s="8">
        <v>9</v>
      </c>
      <c r="Q17" s="8">
        <v>9</v>
      </c>
    </row>
    <row r="18" spans="1:17" x14ac:dyDescent="0.2">
      <c r="A18" s="9" t="s">
        <v>17</v>
      </c>
      <c r="B18" s="12" t="s">
        <v>21</v>
      </c>
      <c r="C18" s="8">
        <v>9</v>
      </c>
      <c r="D18" s="8">
        <v>9</v>
      </c>
      <c r="E18" s="8">
        <v>9</v>
      </c>
      <c r="F18" s="8">
        <v>9</v>
      </c>
      <c r="G18" s="8">
        <v>9</v>
      </c>
      <c r="H18" s="8">
        <v>9</v>
      </c>
      <c r="I18" s="8">
        <v>9</v>
      </c>
      <c r="J18" s="8">
        <v>9</v>
      </c>
      <c r="K18" s="8">
        <v>9</v>
      </c>
      <c r="L18" s="8">
        <v>9</v>
      </c>
      <c r="M18" s="8">
        <v>9</v>
      </c>
      <c r="N18" s="8">
        <v>9</v>
      </c>
      <c r="O18" s="8">
        <v>9</v>
      </c>
      <c r="P18" s="8">
        <v>9</v>
      </c>
      <c r="Q18" s="8">
        <v>9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14">
        <v>10</v>
      </c>
      <c r="F19" s="8">
        <v>9</v>
      </c>
      <c r="G19" s="14">
        <v>10</v>
      </c>
      <c r="H19" s="14">
        <v>11</v>
      </c>
      <c r="I19" s="14">
        <v>12</v>
      </c>
      <c r="J19" s="14">
        <v>12</v>
      </c>
      <c r="K19" s="14">
        <v>13</v>
      </c>
      <c r="L19" s="14">
        <v>10</v>
      </c>
      <c r="M19" s="14">
        <v>10</v>
      </c>
      <c r="N19" s="14">
        <v>10</v>
      </c>
      <c r="O19" s="8">
        <v>7</v>
      </c>
      <c r="P19" s="8">
        <v>7</v>
      </c>
      <c r="Q19" s="8">
        <v>7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33</v>
      </c>
      <c r="B32" s="7" t="s">
        <v>16</v>
      </c>
      <c r="C32" s="26">
        <v>45</v>
      </c>
      <c r="D32" s="21">
        <v>46</v>
      </c>
      <c r="E32" s="21">
        <v>46</v>
      </c>
      <c r="F32" s="21">
        <v>46</v>
      </c>
      <c r="G32" s="21">
        <v>46</v>
      </c>
    </row>
    <row r="33" spans="1:7" x14ac:dyDescent="0.2">
      <c r="A33" s="12" t="s">
        <v>33</v>
      </c>
      <c r="B33" s="9" t="s">
        <v>17</v>
      </c>
      <c r="C33" s="26">
        <v>46</v>
      </c>
      <c r="D33" s="21">
        <v>46</v>
      </c>
      <c r="E33" s="21">
        <v>46</v>
      </c>
      <c r="F33" s="21">
        <v>46</v>
      </c>
      <c r="G33" s="21">
        <v>46</v>
      </c>
    </row>
    <row r="34" spans="1:7" x14ac:dyDescent="0.2">
      <c r="A34" s="13" t="s">
        <v>33</v>
      </c>
      <c r="B34" s="10" t="s">
        <v>18</v>
      </c>
      <c r="C34" s="32">
        <v>45</v>
      </c>
      <c r="D34" s="21">
        <v>45</v>
      </c>
      <c r="E34" s="14">
        <v>46</v>
      </c>
      <c r="F34" s="21">
        <v>42</v>
      </c>
      <c r="G34" s="21">
        <v>39</v>
      </c>
    </row>
    <row r="35" spans="1:7" x14ac:dyDescent="0.2">
      <c r="A35" s="17"/>
      <c r="B35" s="8"/>
      <c r="C35" s="27">
        <v>-1E-3</v>
      </c>
      <c r="D35" s="28">
        <v>1.15E-2</v>
      </c>
      <c r="E35" s="28">
        <v>-9.7999999999999997E-3</v>
      </c>
      <c r="F35" s="28">
        <v>8.7599999999999997E-2</v>
      </c>
      <c r="G35" s="28">
        <v>0.1608</v>
      </c>
    </row>
    <row r="36" spans="1:7" x14ac:dyDescent="0.2">
      <c r="A36" s="8"/>
      <c r="B36" s="18" t="s">
        <v>23</v>
      </c>
      <c r="C36" s="29">
        <v>1.0009999999999999</v>
      </c>
      <c r="D36" s="19">
        <v>0.98850000000000005</v>
      </c>
      <c r="E36" s="19">
        <v>1.0098</v>
      </c>
      <c r="F36" s="19">
        <v>0.91239999999999999</v>
      </c>
      <c r="G36" s="19">
        <v>0.83919999999999995</v>
      </c>
    </row>
    <row r="37" spans="1:7" x14ac:dyDescent="0.2">
      <c r="A37" s="17"/>
      <c r="B37" s="18" t="s">
        <v>24</v>
      </c>
      <c r="C37" s="30">
        <v>0</v>
      </c>
      <c r="D37" s="20">
        <v>1</v>
      </c>
      <c r="E37" s="20">
        <v>0</v>
      </c>
      <c r="F37" s="20">
        <v>4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35</v>
      </c>
      <c r="D39" s="21">
        <v>35</v>
      </c>
      <c r="E39" s="21">
        <v>35</v>
      </c>
      <c r="F39" s="21">
        <v>35</v>
      </c>
      <c r="G39" s="21">
        <v>35</v>
      </c>
    </row>
    <row r="40" spans="1:7" x14ac:dyDescent="0.2">
      <c r="A40" s="9" t="s">
        <v>17</v>
      </c>
      <c r="B40" s="12" t="s">
        <v>19</v>
      </c>
      <c r="C40" s="26">
        <v>35</v>
      </c>
      <c r="D40" s="21">
        <v>35</v>
      </c>
      <c r="E40" s="21">
        <v>35</v>
      </c>
      <c r="F40" s="21">
        <v>35</v>
      </c>
      <c r="G40" s="21">
        <v>35</v>
      </c>
    </row>
    <row r="41" spans="1:7" x14ac:dyDescent="0.2">
      <c r="A41" s="16" t="s">
        <v>18</v>
      </c>
      <c r="B41" s="13" t="s">
        <v>19</v>
      </c>
      <c r="C41" s="26">
        <v>35</v>
      </c>
      <c r="D41" s="21">
        <v>34</v>
      </c>
      <c r="E41" s="21">
        <v>32</v>
      </c>
      <c r="F41" s="21">
        <v>30</v>
      </c>
      <c r="G41" s="21">
        <v>27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8</v>
      </c>
      <c r="D47" s="21">
        <v>9</v>
      </c>
      <c r="E47" s="21">
        <v>9</v>
      </c>
      <c r="F47" s="21">
        <v>9</v>
      </c>
      <c r="G47" s="21">
        <v>9</v>
      </c>
    </row>
    <row r="48" spans="1:7" x14ac:dyDescent="0.2">
      <c r="A48" s="9" t="s">
        <v>17</v>
      </c>
      <c r="B48" s="12" t="s">
        <v>21</v>
      </c>
      <c r="C48" s="26">
        <v>9</v>
      </c>
      <c r="D48" s="21">
        <v>9</v>
      </c>
      <c r="E48" s="21">
        <v>9</v>
      </c>
      <c r="F48" s="21">
        <v>9</v>
      </c>
      <c r="G48" s="21">
        <v>9</v>
      </c>
    </row>
    <row r="49" spans="1:7" x14ac:dyDescent="0.2">
      <c r="A49" s="16" t="s">
        <v>18</v>
      </c>
      <c r="B49" s="13" t="s">
        <v>21</v>
      </c>
      <c r="C49" s="32">
        <v>8</v>
      </c>
      <c r="D49" s="14">
        <v>10</v>
      </c>
      <c r="E49" s="14">
        <v>12</v>
      </c>
      <c r="F49" s="14">
        <v>10</v>
      </c>
      <c r="G49" s="14">
        <v>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DECC7-A84D-544D-B660-F6AF46B2986D}">
  <sheetPr>
    <tabColor theme="8" tint="0.79998168889431442"/>
  </sheetPr>
  <dimension ref="A1:P47"/>
  <sheetViews>
    <sheetView workbookViewId="0">
      <selection activeCell="A32" sqref="A32:A3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IF(SD!C1&gt;0,SD!C1,"")</f>
        <v>JAN</v>
      </c>
      <c r="C1" t="str">
        <f>IF(SD!D1&gt;0,SD!D1,"")</f>
        <v>FEB</v>
      </c>
      <c r="D1" t="str">
        <f>IF(SD!E1&gt;0,SD!E1,"")</f>
        <v>MAR</v>
      </c>
      <c r="E1" t="str">
        <f>IF(SD!F1&gt;0,SD!F1,"")</f>
        <v>APR</v>
      </c>
      <c r="F1" t="str">
        <f>IF(SD!G1&gt;0,SD!G1,"")</f>
        <v>MAY</v>
      </c>
      <c r="G1" t="str">
        <f>IF(SD!H1&gt;0,SD!H1,"")</f>
        <v>JUN</v>
      </c>
      <c r="H1" t="str">
        <f>IF(SD!I1&gt;0,SD!I1,"")</f>
        <v>JUL</v>
      </c>
      <c r="I1" t="str">
        <f>IF(SD!J1&gt;0,SD!J1,"")</f>
        <v>AUG</v>
      </c>
      <c r="J1" t="str">
        <f>IF(SD!K1&gt;0,SD!K1,"")</f>
        <v>SEP</v>
      </c>
      <c r="K1" t="str">
        <f>IF(SD!L1&gt;0,SD!L1,"")</f>
        <v>OCT</v>
      </c>
      <c r="L1" t="str">
        <f>IF(SD!M1&gt;0,SD!M1,"")</f>
        <v>NOV</v>
      </c>
      <c r="M1" t="str">
        <f>IF(SD!N1&gt;0,SD!N1,"")</f>
        <v>DEC</v>
      </c>
      <c r="N1" t="str">
        <f>IF(SD!O1&gt;0,SD!O1,"")</f>
        <v>JAN'27</v>
      </c>
      <c r="O1" t="str">
        <f>IF(SD!P1&gt;0,SD!P1,"")</f>
        <v>FEB'27</v>
      </c>
      <c r="P1" t="str">
        <f>IF(SD!Q1&gt;0,SD!Q1,"")</f>
        <v>MAR'27</v>
      </c>
    </row>
    <row r="2" spans="1:16" x14ac:dyDescent="0.2">
      <c r="A2" t="str">
        <f>IF(SD!B2&gt;0,SD!B2,"")</f>
        <v>Staff</v>
      </c>
      <c r="B2">
        <f>IF(SD!C2&gt;0,SD!C2,"")</f>
        <v>43</v>
      </c>
      <c r="C2">
        <f>IF(SD!D2&gt;0,SD!D2,"")</f>
        <v>45</v>
      </c>
      <c r="D2">
        <f>IF(SD!E2&gt;0,SD!E2,"")</f>
        <v>46</v>
      </c>
      <c r="E2">
        <f>IF(SD!F2&gt;0,SD!F2,"")</f>
        <v>46</v>
      </c>
      <c r="F2">
        <f>IF(SD!G2&gt;0,SD!G2,"")</f>
        <v>46</v>
      </c>
      <c r="G2">
        <f>IF(SD!H2&gt;0,SD!H2,"")</f>
        <v>46</v>
      </c>
      <c r="H2">
        <f>IF(SD!I2&gt;0,SD!I2,"")</f>
        <v>46</v>
      </c>
      <c r="I2">
        <f>IF(SD!J2&gt;0,SD!J2,"")</f>
        <v>46</v>
      </c>
      <c r="J2">
        <f>IF(SD!K2&gt;0,SD!K2,"")</f>
        <v>46</v>
      </c>
      <c r="K2">
        <f>IF(SD!L2&gt;0,SD!L2,"")</f>
        <v>46</v>
      </c>
      <c r="L2">
        <f>IF(SD!M2&gt;0,SD!M2,"")</f>
        <v>46</v>
      </c>
      <c r="M2">
        <f>IF(SD!N2&gt;0,SD!N2,"")</f>
        <v>46</v>
      </c>
      <c r="N2">
        <f>IF(SD!O2&gt;0,SD!O2,"")</f>
        <v>46</v>
      </c>
      <c r="O2">
        <f>IF(SD!P2&gt;0,SD!P2,"")</f>
        <v>46</v>
      </c>
      <c r="P2">
        <f>IF(SD!Q2&gt;0,SD!Q2,"")</f>
        <v>46</v>
      </c>
    </row>
    <row r="3" spans="1:16" x14ac:dyDescent="0.2">
      <c r="A3" t="str">
        <f>IF(SD!B3&gt;0,SD!B3,"")</f>
        <v>Staff AVG</v>
      </c>
      <c r="B3">
        <f>IF(SD!C3&gt;0,SD!C3,"")</f>
        <v>46</v>
      </c>
      <c r="C3">
        <f>IF(SD!D3&gt;0,SD!D3,"")</f>
        <v>46</v>
      </c>
      <c r="D3">
        <f>IF(SD!E3&gt;0,SD!E3,"")</f>
        <v>46</v>
      </c>
      <c r="E3">
        <f>IF(SD!F3&gt;0,SD!F3,"")</f>
        <v>46</v>
      </c>
      <c r="F3">
        <f>IF(SD!G3&gt;0,SD!G3,"")</f>
        <v>46</v>
      </c>
      <c r="G3">
        <f>IF(SD!H3&gt;0,SD!H3,"")</f>
        <v>46</v>
      </c>
      <c r="H3">
        <f>IF(SD!I3&gt;0,SD!I3,"")</f>
        <v>46</v>
      </c>
      <c r="I3">
        <f>IF(SD!J3&gt;0,SD!J3,"")</f>
        <v>46</v>
      </c>
      <c r="J3">
        <f>IF(SD!K3&gt;0,SD!K3,"")</f>
        <v>46</v>
      </c>
      <c r="K3">
        <f>IF(SD!L3&gt;0,SD!L3,"")</f>
        <v>46</v>
      </c>
      <c r="L3">
        <f>IF(SD!M3&gt;0,SD!M3,"")</f>
        <v>46</v>
      </c>
      <c r="M3">
        <f>IF(SD!N3&gt;0,SD!N3,"")</f>
        <v>46</v>
      </c>
      <c r="N3">
        <f>IF(SD!O3&gt;0,SD!O3,"")</f>
        <v>46</v>
      </c>
      <c r="O3">
        <f>IF(SD!P3&gt;0,SD!P3,"")</f>
        <v>46</v>
      </c>
      <c r="P3">
        <f>IF(SD!Q3&gt;0,SD!Q3,"")</f>
        <v>46</v>
      </c>
    </row>
    <row r="4" spans="1:16" x14ac:dyDescent="0.2">
      <c r="A4" t="str">
        <f>IF(SD!B4&gt;0,SD!B4,"")</f>
        <v>Plan</v>
      </c>
      <c r="B4">
        <f>IF(SD!C4&gt;0,SD!C4,"")</f>
        <v>40</v>
      </c>
      <c r="C4">
        <f>IF(SD!D4&gt;0,SD!D4,"")</f>
        <v>46</v>
      </c>
      <c r="D4">
        <f>IF(SD!E4&gt;0,SD!E4,"")</f>
        <v>48</v>
      </c>
      <c r="E4">
        <f>IF(SD!F4&gt;0,SD!F4,"")</f>
        <v>44</v>
      </c>
      <c r="F4">
        <f>IF(SD!G4&gt;0,SD!G4,"")</f>
        <v>46</v>
      </c>
      <c r="G4">
        <f>IF(SD!H4&gt;0,SD!H4,"")</f>
        <v>46</v>
      </c>
      <c r="H4">
        <f>IF(SD!I4&gt;0,SD!I4,"")</f>
        <v>48</v>
      </c>
      <c r="I4">
        <f>IF(SD!J4&gt;0,SD!J4,"")</f>
        <v>46</v>
      </c>
      <c r="J4">
        <f>IF(SD!K4&gt;0,SD!K4,"")</f>
        <v>45</v>
      </c>
      <c r="K4">
        <f>IF(SD!L4&gt;0,SD!L4,"")</f>
        <v>42</v>
      </c>
      <c r="L4">
        <f>IF(SD!M4&gt;0,SD!M4,"")</f>
        <v>42</v>
      </c>
      <c r="M4">
        <f>IF(SD!N4&gt;0,SD!N4,"")</f>
        <v>42</v>
      </c>
      <c r="N4">
        <f>IF(SD!O4&gt;0,SD!O4,"")</f>
        <v>32</v>
      </c>
      <c r="O4">
        <f>IF(SD!P4&gt;0,SD!P4,"")</f>
        <v>32</v>
      </c>
      <c r="P4">
        <f>IF(SD!Q4&gt;0,SD!Q4,"")</f>
        <v>32</v>
      </c>
    </row>
    <row r="5" spans="1:16" x14ac:dyDescent="0.2">
      <c r="A5" t="str">
        <f>IF(SD!B11&gt;0,SD!B11,"")</f>
        <v>PAYROLL</v>
      </c>
      <c r="B5">
        <f>IF(SD!C11&gt;0,SD!C11,"")</f>
        <v>33</v>
      </c>
      <c r="C5">
        <f>IF(SD!D11&gt;0,SD!D11,"")</f>
        <v>35</v>
      </c>
      <c r="D5">
        <f>IF(SD!E11&gt;0,SD!E11,"")</f>
        <v>36</v>
      </c>
      <c r="E5">
        <f>IF(SD!F11&gt;0,SD!F11,"")</f>
        <v>33</v>
      </c>
      <c r="F5">
        <f>IF(SD!G11&gt;0,SD!G11,"")</f>
        <v>34</v>
      </c>
      <c r="G5">
        <f>IF(SD!H11&gt;0,SD!H11,"")</f>
        <v>34</v>
      </c>
      <c r="H5">
        <f>IF(SD!I11&gt;0,SD!I11,"")</f>
        <v>33</v>
      </c>
      <c r="I5">
        <f>IF(SD!J11&gt;0,SD!J11,"")</f>
        <v>32</v>
      </c>
      <c r="J5">
        <f>IF(SD!K11&gt;0,SD!K11,"")</f>
        <v>31</v>
      </c>
      <c r="K5">
        <f>IF(SD!L11&gt;0,SD!L11,"")</f>
        <v>30</v>
      </c>
      <c r="L5">
        <f>IF(SD!M11&gt;0,SD!M11,"")</f>
        <v>30</v>
      </c>
      <c r="M5">
        <f>IF(SD!N11&gt;0,SD!N11,"")</f>
        <v>29</v>
      </c>
      <c r="N5">
        <f>IF(SD!O11&gt;0,SD!O11,"")</f>
        <v>23</v>
      </c>
      <c r="O5">
        <f>IF(SD!P11&gt;0,SD!P11,"")</f>
        <v>23</v>
      </c>
      <c r="P5">
        <f>IF(SD!Q11&gt;0,SD!Q11,"")</f>
        <v>23</v>
      </c>
    </row>
    <row r="6" spans="1:16" x14ac:dyDescent="0.2">
      <c r="A6" t="str">
        <f>IF(SD!B15&gt;0,SD!B15,"")</f>
        <v>CONTRACTOR</v>
      </c>
      <c r="B6">
        <f>IF(SD!C15&gt;0,SD!C15,"")</f>
        <v>2</v>
      </c>
      <c r="C6">
        <f>IF(SD!D15&gt;0,SD!D15,"")</f>
        <v>2</v>
      </c>
      <c r="D6">
        <f>IF(SD!E15&gt;0,SD!E15,"")</f>
        <v>2</v>
      </c>
      <c r="E6">
        <f>IF(SD!F15&gt;0,SD!F15,"")</f>
        <v>2</v>
      </c>
      <c r="F6">
        <f>IF(SD!G15&gt;0,SD!G15,"")</f>
        <v>2</v>
      </c>
      <c r="G6">
        <f>IF(SD!H15&gt;0,SD!H15,"")</f>
        <v>2</v>
      </c>
      <c r="H6">
        <f>IF(SD!I15&gt;0,SD!I15,"")</f>
        <v>2</v>
      </c>
      <c r="I6">
        <f>IF(SD!J15&gt;0,SD!J15,"")</f>
        <v>2</v>
      </c>
      <c r="J6">
        <f>IF(SD!K15&gt;0,SD!K15,"")</f>
        <v>2</v>
      </c>
      <c r="K6">
        <f>IF(SD!L15&gt;0,SD!L15,"")</f>
        <v>2</v>
      </c>
      <c r="L6">
        <f>IF(SD!M15&gt;0,SD!M15,"")</f>
        <v>2</v>
      </c>
      <c r="M6">
        <f>IF(SD!N15&gt;0,SD!N15,"")</f>
        <v>2</v>
      </c>
      <c r="N6">
        <f>IF(SD!O15&gt;0,SD!O15,"")</f>
        <v>2</v>
      </c>
      <c r="O6">
        <f>IF(SD!P15&gt;0,SD!P15,"")</f>
        <v>2</v>
      </c>
      <c r="P6">
        <f>IF(SD!Q15&gt;0,SD!Q15,"")</f>
        <v>2</v>
      </c>
    </row>
    <row r="7" spans="1:16" x14ac:dyDescent="0.2">
      <c r="A7" t="str">
        <f>IF(SD!B19&gt;0,SD!B19,"")</f>
        <v>OUTSOURCE</v>
      </c>
      <c r="B7">
        <f>IF(SD!C19&gt;0,SD!C19,"")</f>
        <v>6</v>
      </c>
      <c r="C7">
        <f>IF(SD!D19&gt;0,SD!D19,"")</f>
        <v>8</v>
      </c>
      <c r="D7">
        <f>IF(SD!E19&gt;0,SD!E19,"")</f>
        <v>10</v>
      </c>
      <c r="E7">
        <f>IF(SD!F19&gt;0,SD!F19,"")</f>
        <v>9</v>
      </c>
      <c r="F7">
        <f>IF(SD!G19&gt;0,SD!G19,"")</f>
        <v>10</v>
      </c>
      <c r="G7">
        <f>IF(SD!H19&gt;0,SD!H19,"")</f>
        <v>11</v>
      </c>
      <c r="H7">
        <f>IF(SD!I19&gt;0,SD!I19,"")</f>
        <v>12</v>
      </c>
      <c r="I7">
        <f>IF(SD!J19&gt;0,SD!J19,"")</f>
        <v>12</v>
      </c>
      <c r="J7">
        <f>IF(SD!K19&gt;0,SD!K19,"")</f>
        <v>13</v>
      </c>
      <c r="K7">
        <f>IF(SD!L19&gt;0,SD!L19,"")</f>
        <v>10</v>
      </c>
      <c r="L7">
        <f>IF(SD!M19&gt;0,SD!M19,"")</f>
        <v>10</v>
      </c>
      <c r="M7">
        <f>IF(SD!N19&gt;0,SD!N19,"")</f>
        <v>10</v>
      </c>
      <c r="N7">
        <f>IF(SD!O19&gt;0,SD!O19,"")</f>
        <v>7</v>
      </c>
      <c r="O7">
        <f>IF(SD!P19&gt;0,SD!P19,"")</f>
        <v>7</v>
      </c>
      <c r="P7">
        <f>IF(SD!Q19&gt;0,SD!Q19,"")</f>
        <v>7</v>
      </c>
    </row>
    <row r="11" spans="1:16" x14ac:dyDescent="0.2">
      <c r="B11" t="str">
        <f>IF(SD!C1&gt;0,SD!C1,"")</f>
        <v>JAN</v>
      </c>
      <c r="C11" t="str">
        <f>IF(SD!D1&gt;0,SD!D1,"")</f>
        <v>FEB</v>
      </c>
      <c r="D11" t="str">
        <f>IF(SD!E1&gt;0,SD!E1,"")</f>
        <v>MAR</v>
      </c>
      <c r="E11" t="str">
        <f>IF(SD!F1&gt;0,SD!F1,"")</f>
        <v>APR</v>
      </c>
      <c r="F11" t="str">
        <f>IF(SD!G1&gt;0,SD!G1,"")</f>
        <v>MAY</v>
      </c>
      <c r="G11" t="str">
        <f>IF(SD!H1&gt;0,SD!H1,"")</f>
        <v>JUN</v>
      </c>
      <c r="H11" t="str">
        <f>IF(SD!I1&gt;0,SD!I1,"")</f>
        <v>JUL</v>
      </c>
      <c r="I11" t="str">
        <f>IF(SD!J1&gt;0,SD!J1,"")</f>
        <v>AUG</v>
      </c>
      <c r="J11" t="str">
        <f>IF(SD!K1&gt;0,SD!K1,"")</f>
        <v>SEP</v>
      </c>
      <c r="K11" t="str">
        <f>IF(SD!L1&gt;0,SD!L1,"")</f>
        <v>OCT</v>
      </c>
      <c r="L11" t="str">
        <f>IF(SD!M1&gt;0,SD!M1,"")</f>
        <v>NOV</v>
      </c>
      <c r="M11" t="str">
        <f>IF(SD!N1&gt;0,SD!N1,"")</f>
        <v>DEC</v>
      </c>
      <c r="N11" t="str">
        <f>IF(SD!O1&gt;0,SD!O1,"")</f>
        <v>JAN'27</v>
      </c>
      <c r="O11" t="str">
        <f>IF(SD!P1&gt;0,SD!P1,"")</f>
        <v>FEB'27</v>
      </c>
      <c r="P11" t="str">
        <f>IF(SD!Q1&gt;0,SD!Q1,"")</f>
        <v>MAR'27</v>
      </c>
    </row>
    <row r="12" spans="1:16" x14ac:dyDescent="0.2">
      <c r="A12" t="str">
        <f>IF(SD!B2&gt;0,SD!B2,"")</f>
        <v>Staff</v>
      </c>
      <c r="B12">
        <f>IF(SD!C9&gt;0,SD!C9,"")</f>
        <v>35</v>
      </c>
      <c r="C12">
        <f>IF(SD!D9&gt;0,SD!D9,"")</f>
        <v>35</v>
      </c>
      <c r="D12">
        <f>IF(SD!E9&gt;0,SD!E9,"")</f>
        <v>35</v>
      </c>
      <c r="E12">
        <f>IF(SD!F9&gt;0,SD!F9,"")</f>
        <v>35</v>
      </c>
      <c r="F12">
        <f>IF(SD!G9&gt;0,SD!G9,"")</f>
        <v>35</v>
      </c>
      <c r="G12">
        <f>IF(SD!H9&gt;0,SD!H9,"")</f>
        <v>35</v>
      </c>
      <c r="H12">
        <f>IF(SD!I9&gt;0,SD!I9,"")</f>
        <v>35</v>
      </c>
      <c r="I12">
        <f>IF(SD!J9&gt;0,SD!J9,"")</f>
        <v>35</v>
      </c>
      <c r="J12">
        <f>IF(SD!K9&gt;0,SD!K9,"")</f>
        <v>35</v>
      </c>
      <c r="K12">
        <f>IF(SD!L9&gt;0,SD!L9,"")</f>
        <v>35</v>
      </c>
      <c r="L12">
        <f>IF(SD!M9&gt;0,SD!M9,"")</f>
        <v>35</v>
      </c>
      <c r="M12">
        <f>IF(SD!N9&gt;0,SD!N9,"")</f>
        <v>35</v>
      </c>
      <c r="N12">
        <f>IF(SD!O9&gt;0,SD!O9,"")</f>
        <v>35</v>
      </c>
      <c r="O12">
        <f>IF(SD!P9&gt;0,SD!P9,"")</f>
        <v>35</v>
      </c>
      <c r="P12">
        <f>IF(SD!Q9&gt;0,SD!Q9,"")</f>
        <v>35</v>
      </c>
    </row>
    <row r="13" spans="1:16" x14ac:dyDescent="0.2">
      <c r="A13" t="str">
        <f>IF(SD!B3&gt;0,SD!B3,"")</f>
        <v>Staff AVG</v>
      </c>
      <c r="B13">
        <f>IF(SD!C10&gt;0,SD!C10,"")</f>
        <v>35</v>
      </c>
      <c r="C13">
        <f>IF(SD!D10&gt;0,SD!D10,"")</f>
        <v>35</v>
      </c>
      <c r="D13">
        <f>IF(SD!E10&gt;0,SD!E10,"")</f>
        <v>35</v>
      </c>
      <c r="E13">
        <f>IF(SD!F10&gt;0,SD!F10,"")</f>
        <v>35</v>
      </c>
      <c r="F13">
        <f>IF(SD!G10&gt;0,SD!G10,"")</f>
        <v>35</v>
      </c>
      <c r="G13">
        <f>IF(SD!H10&gt;0,SD!H10,"")</f>
        <v>35</v>
      </c>
      <c r="H13">
        <f>IF(SD!I10&gt;0,SD!I10,"")</f>
        <v>35</v>
      </c>
      <c r="I13">
        <f>IF(SD!J10&gt;0,SD!J10,"")</f>
        <v>35</v>
      </c>
      <c r="J13">
        <f>IF(SD!K10&gt;0,SD!K10,"")</f>
        <v>35</v>
      </c>
      <c r="K13">
        <f>IF(SD!L10&gt;0,SD!L10,"")</f>
        <v>35</v>
      </c>
      <c r="L13">
        <f>IF(SD!M10&gt;0,SD!M10,"")</f>
        <v>35</v>
      </c>
      <c r="M13">
        <f>IF(SD!N10&gt;0,SD!N10,"")</f>
        <v>35</v>
      </c>
      <c r="N13">
        <f>IF(SD!O10&gt;0,SD!O10,"")</f>
        <v>35</v>
      </c>
      <c r="O13">
        <f>IF(SD!P10&gt;0,SD!P10,"")</f>
        <v>35</v>
      </c>
      <c r="P13">
        <f>IF(SD!Q10&gt;0,SD!Q10,"")</f>
        <v>35</v>
      </c>
    </row>
    <row r="14" spans="1:16" x14ac:dyDescent="0.2">
      <c r="A14" t="str">
        <f>IF(SD!B4&gt;0,SD!B4,"")</f>
        <v>Plan</v>
      </c>
      <c r="B14">
        <f>IF(SD!C11&gt;0,SD!C11,"")</f>
        <v>33</v>
      </c>
      <c r="C14">
        <f>IF(SD!D11&gt;0,SD!D11,"")</f>
        <v>35</v>
      </c>
      <c r="D14">
        <f>IF(SD!E11&gt;0,SD!E11,"")</f>
        <v>36</v>
      </c>
      <c r="E14">
        <f>IF(SD!F11&gt;0,SD!F11,"")</f>
        <v>33</v>
      </c>
      <c r="F14">
        <f>IF(SD!G11&gt;0,SD!G11,"")</f>
        <v>34</v>
      </c>
      <c r="G14">
        <f>IF(SD!H11&gt;0,SD!H11,"")</f>
        <v>34</v>
      </c>
      <c r="H14">
        <f>IF(SD!I11&gt;0,SD!I11,"")</f>
        <v>33</v>
      </c>
      <c r="I14">
        <f>IF(SD!J11&gt;0,SD!J11,"")</f>
        <v>32</v>
      </c>
      <c r="J14">
        <f>IF(SD!K11&gt;0,SD!K11,"")</f>
        <v>31</v>
      </c>
      <c r="K14">
        <f>IF(SD!L11&gt;0,SD!L11,"")</f>
        <v>30</v>
      </c>
      <c r="L14">
        <f>IF(SD!M11&gt;0,SD!M11,"")</f>
        <v>30</v>
      </c>
      <c r="M14">
        <f>IF(SD!N11&gt;0,SD!N11,"")</f>
        <v>29</v>
      </c>
      <c r="N14">
        <f>IF(SD!O11&gt;0,SD!O11,"")</f>
        <v>23</v>
      </c>
      <c r="O14">
        <f>IF(SD!P11&gt;0,SD!P11,"")</f>
        <v>23</v>
      </c>
      <c r="P14">
        <f>IF(SD!Q11&gt;0,SD!Q11,"")</f>
        <v>23</v>
      </c>
    </row>
    <row r="21" spans="1:16" x14ac:dyDescent="0.2">
      <c r="B21" t="str">
        <f>IF(SD!C1&gt;0,SD!C1,"")</f>
        <v>JAN</v>
      </c>
      <c r="C21" t="str">
        <f>IF(SD!D1&gt;0,SD!D1,"")</f>
        <v>FEB</v>
      </c>
      <c r="D21" t="str">
        <f>IF(SD!E1&gt;0,SD!E1,"")</f>
        <v>MAR</v>
      </c>
      <c r="E21" t="str">
        <f>IF(SD!F1&gt;0,SD!F1,"")</f>
        <v>APR</v>
      </c>
      <c r="F21" t="str">
        <f>IF(SD!G1&gt;0,SD!G1,"")</f>
        <v>MAY</v>
      </c>
      <c r="G21" t="str">
        <f>IF(SD!H1&gt;0,SD!H1,"")</f>
        <v>JUN</v>
      </c>
      <c r="H21" t="str">
        <f>IF(SD!I1&gt;0,SD!I1,"")</f>
        <v>JUL</v>
      </c>
      <c r="I21" t="str">
        <f>IF(SD!J1&gt;0,SD!J1,"")</f>
        <v>AUG</v>
      </c>
      <c r="J21" t="str">
        <f>IF(SD!K1&gt;0,SD!K1,"")</f>
        <v>SEP</v>
      </c>
      <c r="K21" t="str">
        <f>IF(SD!L1&gt;0,SD!L1,"")</f>
        <v>OCT</v>
      </c>
      <c r="L21" t="str">
        <f>IF(SD!M1&gt;0,SD!M1,"")</f>
        <v>NOV</v>
      </c>
      <c r="M21" t="str">
        <f>IF(SD!N1&gt;0,SD!N1,"")</f>
        <v>DEC</v>
      </c>
      <c r="N21" t="str">
        <f>IF(SD!O1&gt;0,SD!O1,"")</f>
        <v>JAN'27</v>
      </c>
      <c r="O21" t="str">
        <f>IF(SD!P1&gt;0,SD!P1,"")</f>
        <v>FEB'27</v>
      </c>
      <c r="P21" t="str">
        <f>IF(SD!Q1&gt;0,SD!Q1,"")</f>
        <v>MAR'27</v>
      </c>
    </row>
    <row r="22" spans="1:16" x14ac:dyDescent="0.2">
      <c r="A22" t="str">
        <f>IF(SD!B2&gt;0,SD!B2,"")</f>
        <v>Staff</v>
      </c>
      <c r="B22">
        <f>IF(SD!C13&gt;0,SD!C13,"")</f>
        <v>2</v>
      </c>
      <c r="C22">
        <f>IF(SD!D13&gt;0,SD!D13,"")</f>
        <v>2</v>
      </c>
      <c r="D22">
        <f>IF(SD!E13&gt;0,SD!E13,"")</f>
        <v>2</v>
      </c>
      <c r="E22">
        <f>IF(SD!F13&gt;0,SD!F13,"")</f>
        <v>2</v>
      </c>
      <c r="F22">
        <f>IF(SD!G13&gt;0,SD!G13,"")</f>
        <v>2</v>
      </c>
      <c r="G22">
        <f>IF(SD!H13&gt;0,SD!H13,"")</f>
        <v>2</v>
      </c>
      <c r="H22">
        <f>IF(SD!I13&gt;0,SD!I13,"")</f>
        <v>2</v>
      </c>
      <c r="I22">
        <f>IF(SD!J13&gt;0,SD!J13,"")</f>
        <v>2</v>
      </c>
      <c r="J22">
        <f>IF(SD!K13&gt;0,SD!K13,"")</f>
        <v>2</v>
      </c>
      <c r="K22">
        <f>IF(SD!L13&gt;0,SD!L13,"")</f>
        <v>2</v>
      </c>
      <c r="L22">
        <f>IF(SD!M13&gt;0,SD!M13,"")</f>
        <v>2</v>
      </c>
      <c r="M22">
        <f>IF(SD!N13&gt;0,SD!N13,"")</f>
        <v>2</v>
      </c>
      <c r="N22">
        <f>IF(SD!O13&gt;0,SD!O13,"")</f>
        <v>2</v>
      </c>
      <c r="O22">
        <f>IF(SD!P13&gt;0,SD!P13,"")</f>
        <v>2</v>
      </c>
      <c r="P22">
        <f>IF(SD!Q13&gt;0,SD!Q13,"")</f>
        <v>2</v>
      </c>
    </row>
    <row r="23" spans="1:16" x14ac:dyDescent="0.2">
      <c r="A23" t="str">
        <f>IF(SD!B3&gt;0,SD!B3,"")</f>
        <v>Staff AVG</v>
      </c>
      <c r="B23">
        <f>IF(SD!C14&gt;0,SD!C14,"")</f>
        <v>2</v>
      </c>
      <c r="C23">
        <f>IF(SD!D14&gt;0,SD!D14,"")</f>
        <v>2</v>
      </c>
      <c r="D23">
        <f>IF(SD!E14&gt;0,SD!E14,"")</f>
        <v>2</v>
      </c>
      <c r="E23">
        <f>IF(SD!F14&gt;0,SD!F14,"")</f>
        <v>2</v>
      </c>
      <c r="F23">
        <f>IF(SD!G14&gt;0,SD!G14,"")</f>
        <v>2</v>
      </c>
      <c r="G23">
        <f>IF(SD!H14&gt;0,SD!H14,"")</f>
        <v>2</v>
      </c>
      <c r="H23">
        <f>IF(SD!I14&gt;0,SD!I14,"")</f>
        <v>2</v>
      </c>
      <c r="I23">
        <f>IF(SD!J14&gt;0,SD!J14,"")</f>
        <v>2</v>
      </c>
      <c r="J23">
        <f>IF(SD!K14&gt;0,SD!K14,"")</f>
        <v>2</v>
      </c>
      <c r="K23">
        <f>IF(SD!L14&gt;0,SD!L14,"")</f>
        <v>2</v>
      </c>
      <c r="L23">
        <f>IF(SD!M14&gt;0,SD!M14,"")</f>
        <v>2</v>
      </c>
      <c r="M23">
        <f>IF(SD!N14&gt;0,SD!N14,"")</f>
        <v>2</v>
      </c>
      <c r="N23">
        <f>IF(SD!O14&gt;0,SD!O14,"")</f>
        <v>2</v>
      </c>
      <c r="O23">
        <f>IF(SD!P14&gt;0,SD!P14,"")</f>
        <v>2</v>
      </c>
      <c r="P23">
        <f>IF(SD!Q14&gt;0,SD!Q14,"")</f>
        <v>2</v>
      </c>
    </row>
    <row r="24" spans="1:16" x14ac:dyDescent="0.2">
      <c r="A24" t="str">
        <f>IF(SD!B4&gt;0,SD!B4,"")</f>
        <v>Plan</v>
      </c>
      <c r="B24">
        <f>IF(SD!C15&gt;0,SD!C15,"")</f>
        <v>2</v>
      </c>
      <c r="C24">
        <f>IF(SD!D15&gt;0,SD!D15,"")</f>
        <v>2</v>
      </c>
      <c r="D24">
        <f>IF(SD!E15&gt;0,SD!E15,"")</f>
        <v>2</v>
      </c>
      <c r="E24">
        <f>IF(SD!F15&gt;0,SD!F15,"")</f>
        <v>2</v>
      </c>
      <c r="F24">
        <f>IF(SD!G15&gt;0,SD!G15,"")</f>
        <v>2</v>
      </c>
      <c r="G24">
        <f>IF(SD!H15&gt;0,SD!H15,"")</f>
        <v>2</v>
      </c>
      <c r="H24">
        <f>IF(SD!I15&gt;0,SD!I15,"")</f>
        <v>2</v>
      </c>
      <c r="I24">
        <f>IF(SD!J15&gt;0,SD!J15,"")</f>
        <v>2</v>
      </c>
      <c r="J24">
        <f>IF(SD!K15&gt;0,SD!K15,"")</f>
        <v>2</v>
      </c>
      <c r="K24">
        <f>IF(SD!L15&gt;0,SD!L15,"")</f>
        <v>2</v>
      </c>
      <c r="L24">
        <f>IF(SD!M15&gt;0,SD!M15,"")</f>
        <v>2</v>
      </c>
      <c r="M24">
        <f>IF(SD!N15&gt;0,SD!N15,"")</f>
        <v>2</v>
      </c>
      <c r="N24">
        <f>IF(SD!O15&gt;0,SD!O15,"")</f>
        <v>2</v>
      </c>
      <c r="O24">
        <f>IF(SD!P15&gt;0,SD!P15,"")</f>
        <v>2</v>
      </c>
      <c r="P24">
        <f>IF(SD!Q15&gt;0,SD!Q15,"")</f>
        <v>2</v>
      </c>
    </row>
    <row r="31" spans="1:16" x14ac:dyDescent="0.2">
      <c r="B31" t="str">
        <f>IF(SD!C1&gt;0,SD!C1,"")</f>
        <v>JAN</v>
      </c>
      <c r="C31" t="str">
        <f>IF(SD!D1&gt;0,SD!D1,"")</f>
        <v>FEB</v>
      </c>
      <c r="D31" t="str">
        <f>IF(SD!E1&gt;0,SD!E1,"")</f>
        <v>MAR</v>
      </c>
      <c r="E31" t="str">
        <f>IF(SD!F1&gt;0,SD!F1,"")</f>
        <v>APR</v>
      </c>
      <c r="F31" t="str">
        <f>IF(SD!G1&gt;0,SD!G1,"")</f>
        <v>MAY</v>
      </c>
      <c r="G31" t="str">
        <f>IF(SD!H1&gt;0,SD!H1,"")</f>
        <v>JUN</v>
      </c>
      <c r="H31" t="str">
        <f>IF(SD!I1&gt;0,SD!I1,"")</f>
        <v>JUL</v>
      </c>
      <c r="I31" t="str">
        <f>IF(SD!J1&gt;0,SD!J1,"")</f>
        <v>AUG</v>
      </c>
      <c r="J31" t="str">
        <f>IF(SD!K1&gt;0,SD!K1,"")</f>
        <v>SEP</v>
      </c>
      <c r="K31" t="str">
        <f>IF(SD!L1&gt;0,SD!L1,"")</f>
        <v>OCT</v>
      </c>
      <c r="L31" t="str">
        <f>IF(SD!M1&gt;0,SD!M1,"")</f>
        <v>NOV</v>
      </c>
      <c r="M31" t="str">
        <f>IF(SD!N1&gt;0,SD!N1,"")</f>
        <v>DEC</v>
      </c>
      <c r="N31" t="str">
        <f>IF(SD!O1&gt;0,SD!O1,"")</f>
        <v>JAN'27</v>
      </c>
      <c r="O31" t="str">
        <f>IF(SD!P1&gt;0,SD!P1,"")</f>
        <v>FEB'27</v>
      </c>
      <c r="P31" t="str">
        <f>IF(SD!Q1&gt;0,SD!Q1,"")</f>
        <v>MAR'27</v>
      </c>
    </row>
    <row r="32" spans="1:16" x14ac:dyDescent="0.2">
      <c r="A32" t="str">
        <f>IF(SD!B2&gt;0,SD!B2,"")</f>
        <v>Staff</v>
      </c>
      <c r="B32">
        <f>IF(SD!C17&gt;0,SD!C17,"")</f>
        <v>6</v>
      </c>
      <c r="C32">
        <f>IF(SD!D17&gt;0,SD!D17,"")</f>
        <v>8</v>
      </c>
      <c r="D32">
        <f>IF(SD!E17&gt;0,SD!E17,"")</f>
        <v>9</v>
      </c>
      <c r="E32">
        <f>IF(SD!F17&gt;0,SD!F17,"")</f>
        <v>9</v>
      </c>
      <c r="F32">
        <f>IF(SD!G17&gt;0,SD!G17,"")</f>
        <v>9</v>
      </c>
      <c r="G32">
        <f>IF(SD!H17&gt;0,SD!H17,"")</f>
        <v>9</v>
      </c>
      <c r="H32">
        <f>IF(SD!I17&gt;0,SD!I17,"")</f>
        <v>9</v>
      </c>
      <c r="I32">
        <f>IF(SD!J17&gt;0,SD!J17,"")</f>
        <v>9</v>
      </c>
      <c r="J32">
        <f>IF(SD!K17&gt;0,SD!K17,"")</f>
        <v>9</v>
      </c>
      <c r="K32">
        <f>IF(SD!L17&gt;0,SD!L17,"")</f>
        <v>9</v>
      </c>
      <c r="L32">
        <f>IF(SD!M17&gt;0,SD!M17,"")</f>
        <v>9</v>
      </c>
      <c r="M32">
        <f>IF(SD!N17&gt;0,SD!N17,"")</f>
        <v>9</v>
      </c>
      <c r="N32">
        <f>IF(SD!O17&gt;0,SD!O17,"")</f>
        <v>9</v>
      </c>
      <c r="O32">
        <f>IF(SD!P17&gt;0,SD!P17,"")</f>
        <v>9</v>
      </c>
      <c r="P32">
        <f>IF(SD!Q17&gt;0,SD!Q17,"")</f>
        <v>9</v>
      </c>
    </row>
    <row r="33" spans="1:16" x14ac:dyDescent="0.2">
      <c r="A33" t="str">
        <f>IF(SD!B3&gt;0,SD!B3,"")</f>
        <v>Staff AVG</v>
      </c>
      <c r="B33">
        <f>IF(SD!C18&gt;0,SD!C18,"")</f>
        <v>9</v>
      </c>
      <c r="C33">
        <f>IF(SD!D18&gt;0,SD!D18,"")</f>
        <v>9</v>
      </c>
      <c r="D33">
        <f>IF(SD!E18&gt;0,SD!E18,"")</f>
        <v>9</v>
      </c>
      <c r="E33">
        <f>IF(SD!F18&gt;0,SD!F18,"")</f>
        <v>9</v>
      </c>
      <c r="F33">
        <f>IF(SD!G18&gt;0,SD!G18,"")</f>
        <v>9</v>
      </c>
      <c r="G33">
        <f>IF(SD!H18&gt;0,SD!H18,"")</f>
        <v>9</v>
      </c>
      <c r="H33">
        <f>IF(SD!I18&gt;0,SD!I18,"")</f>
        <v>9</v>
      </c>
      <c r="I33">
        <f>IF(SD!J18&gt;0,SD!J18,"")</f>
        <v>9</v>
      </c>
      <c r="J33">
        <f>IF(SD!K18&gt;0,SD!K18,"")</f>
        <v>9</v>
      </c>
      <c r="K33">
        <f>IF(SD!L18&gt;0,SD!L18,"")</f>
        <v>9</v>
      </c>
      <c r="L33">
        <f>IF(SD!M18&gt;0,SD!M18,"")</f>
        <v>9</v>
      </c>
      <c r="M33">
        <f>IF(SD!N18&gt;0,SD!N18,"")</f>
        <v>9</v>
      </c>
      <c r="N33">
        <f>IF(SD!O18&gt;0,SD!O18,"")</f>
        <v>9</v>
      </c>
      <c r="O33">
        <f>IF(SD!P18&gt;0,SD!P18,"")</f>
        <v>9</v>
      </c>
      <c r="P33">
        <f>IF(SD!Q18&gt;0,SD!Q18,"")</f>
        <v>9</v>
      </c>
    </row>
    <row r="34" spans="1:16" x14ac:dyDescent="0.2">
      <c r="A34" t="str">
        <f>IF(SD!B4&gt;0,SD!B4,"")</f>
        <v>Plan</v>
      </c>
      <c r="B34">
        <f>IF(SD!C19&gt;0,SD!C19,"")</f>
        <v>6</v>
      </c>
      <c r="C34">
        <f>IF(SD!D19&gt;0,SD!D19,"")</f>
        <v>8</v>
      </c>
      <c r="D34">
        <f>IF(SD!E19&gt;0,SD!E19,"")</f>
        <v>10</v>
      </c>
      <c r="E34">
        <f>IF(SD!F19&gt;0,SD!F19,"")</f>
        <v>9</v>
      </c>
      <c r="F34">
        <f>IF(SD!G19&gt;0,SD!G19,"")</f>
        <v>10</v>
      </c>
      <c r="G34">
        <f>IF(SD!H19&gt;0,SD!H19,"")</f>
        <v>11</v>
      </c>
      <c r="H34">
        <f>IF(SD!I19&gt;0,SD!I19,"")</f>
        <v>12</v>
      </c>
      <c r="I34">
        <f>IF(SD!J19&gt;0,SD!J19,"")</f>
        <v>12</v>
      </c>
      <c r="J34">
        <f>IF(SD!K19&gt;0,SD!K19,"")</f>
        <v>13</v>
      </c>
      <c r="K34">
        <f>IF(SD!L19&gt;0,SD!L19,"")</f>
        <v>10</v>
      </c>
      <c r="L34">
        <f>IF(SD!M19&gt;0,SD!M19,"")</f>
        <v>10</v>
      </c>
      <c r="M34">
        <f>IF(SD!N19&gt;0,SD!N19,"")</f>
        <v>10</v>
      </c>
      <c r="N34">
        <f>IF(SD!O19&gt;0,SD!O19,"")</f>
        <v>7</v>
      </c>
      <c r="O34">
        <f>IF(SD!P19&gt;0,SD!P19,"")</f>
        <v>7</v>
      </c>
      <c r="P34">
        <f>IF(SD!Q19&gt;0,SD!Q19,"")</f>
        <v>7</v>
      </c>
    </row>
    <row r="41" spans="1:16" x14ac:dyDescent="0.2">
      <c r="B41" t="str">
        <f>IF(SD!C31&gt;0,SD!C31,"")</f>
        <v>Q1</v>
      </c>
      <c r="C41" t="str">
        <f>IF(SD!D31&gt;0,SD!D31,"")</f>
        <v>Q2</v>
      </c>
      <c r="D41" t="str">
        <f>IF(SD!E31&gt;0,SD!E31,"")</f>
        <v>Q3</v>
      </c>
      <c r="E41" t="str">
        <f>IF(SD!F31&gt;0,SD!F31,"")</f>
        <v>Q4</v>
      </c>
      <c r="F41" t="str">
        <f>IF(SD!G31&gt;0,SD!G31,"")</f>
        <v>Q1'27</v>
      </c>
    </row>
    <row r="42" spans="1:16" x14ac:dyDescent="0.2">
      <c r="A42" t="str">
        <f>IF(SD!B32&gt;0,SD!B32,"")</f>
        <v>Staff</v>
      </c>
      <c r="B42">
        <f>IF(SD!C32&gt;0,SD!C32,"")</f>
        <v>45</v>
      </c>
      <c r="C42">
        <f>IF(SD!D32&gt;0,SD!D32,"")</f>
        <v>46</v>
      </c>
      <c r="D42">
        <f>IF(SD!E32&gt;0,SD!E32,"")</f>
        <v>46</v>
      </c>
      <c r="E42">
        <f>IF(SD!F32&gt;0,SD!F32,"")</f>
        <v>46</v>
      </c>
      <c r="F42">
        <f>IF(SD!G32&gt;0,SD!G32,"")</f>
        <v>46</v>
      </c>
    </row>
    <row r="43" spans="1:16" x14ac:dyDescent="0.2">
      <c r="A43" t="str">
        <f>IF(SD!B33&gt;0,SD!B33,"")</f>
        <v>Staff AVG</v>
      </c>
      <c r="B43">
        <f>IF(SD!C33&gt;0,SD!C33,"")</f>
        <v>46</v>
      </c>
      <c r="C43">
        <f>IF(SD!D33&gt;0,SD!D33,"")</f>
        <v>46</v>
      </c>
      <c r="D43">
        <f>IF(SD!E33&gt;0,SD!E33,"")</f>
        <v>46</v>
      </c>
      <c r="E43">
        <f>IF(SD!F33&gt;0,SD!F33,"")</f>
        <v>46</v>
      </c>
      <c r="F43">
        <f>IF(SD!G33&gt;0,SD!G33,"")</f>
        <v>46</v>
      </c>
    </row>
    <row r="44" spans="1:16" x14ac:dyDescent="0.2">
      <c r="A44" t="str">
        <f>IF(SD!B34&gt;0,SD!B34,"")</f>
        <v>Plan</v>
      </c>
      <c r="B44">
        <f>IF(SD!C34&gt;0,SD!C34,"")</f>
        <v>45</v>
      </c>
      <c r="C44">
        <f>IF(SD!D34&gt;0,SD!D34,"")</f>
        <v>45</v>
      </c>
      <c r="D44">
        <f>IF(SD!E34&gt;0,SD!E34,"")</f>
        <v>46</v>
      </c>
      <c r="E44">
        <f>IF(SD!F34&gt;0,SD!F34,"")</f>
        <v>42</v>
      </c>
      <c r="F44">
        <f>IF(SD!G34&gt;0,SD!G34,"")</f>
        <v>39</v>
      </c>
    </row>
    <row r="45" spans="1:16" x14ac:dyDescent="0.2">
      <c r="A45" t="str">
        <f>IF(SD!B41&gt;0,SD!B41,"")</f>
        <v>PAYROLL</v>
      </c>
      <c r="B45">
        <f>IF(SD!C41&gt;0,SD!C41,"")</f>
        <v>35</v>
      </c>
      <c r="C45">
        <f>IF(SD!D41&gt;0,SD!D41,"")</f>
        <v>34</v>
      </c>
      <c r="D45">
        <f>IF(SD!E41&gt;0,SD!E41,"")</f>
        <v>32</v>
      </c>
      <c r="E45">
        <f>IF(SD!F41&gt;0,SD!F41,"")</f>
        <v>30</v>
      </c>
      <c r="F45">
        <f>IF(SD!G41&gt;0,SD!G41,"")</f>
        <v>27</v>
      </c>
    </row>
    <row r="46" spans="1:16" x14ac:dyDescent="0.2">
      <c r="A46" t="str">
        <f>IF(SD!B45&gt;0,SD!B45,"")</f>
        <v>CONTRACTOR</v>
      </c>
      <c r="B46">
        <f>IF(SD!C45&gt;0,SD!C45,"")</f>
        <v>2</v>
      </c>
      <c r="C46">
        <f>IF(SD!D45&gt;0,SD!D45,"")</f>
        <v>2</v>
      </c>
      <c r="D46">
        <f>IF(SD!E45&gt;0,SD!E45,"")</f>
        <v>2</v>
      </c>
      <c r="E46">
        <f>IF(SD!F45&gt;0,SD!F45,"")</f>
        <v>2</v>
      </c>
      <c r="F46">
        <f>IF(SD!G45&gt;0,SD!G45,"")</f>
        <v>2</v>
      </c>
    </row>
    <row r="47" spans="1:16" x14ac:dyDescent="0.2">
      <c r="A47" t="str">
        <f>IF(SD!B49&gt;0,SD!B49,"")</f>
        <v>OUTSOURCE</v>
      </c>
      <c r="B47">
        <f>IF(SD!C49&gt;0,SD!C49,"")</f>
        <v>8</v>
      </c>
      <c r="C47">
        <f>IF(SD!D49&gt;0,SD!D49,"")</f>
        <v>10</v>
      </c>
      <c r="D47">
        <f>IF(SD!E49&gt;0,SD!E49,"")</f>
        <v>12</v>
      </c>
      <c r="E47">
        <f>IF(SD!F49&gt;0,SD!F49,"")</f>
        <v>10</v>
      </c>
      <c r="F47">
        <f>IF(SD!G49&gt;0,SD!G49,"")</f>
        <v>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06D1C-51D2-2344-A21E-D05900EFAAB3}">
  <sheetPr>
    <tabColor theme="9"/>
  </sheetPr>
  <dimension ref="A1:Q49"/>
  <sheetViews>
    <sheetView topLeftCell="A19" workbookViewId="0">
      <selection activeCell="C31" sqref="C31:G4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34</v>
      </c>
      <c r="B2" s="7" t="s">
        <v>16</v>
      </c>
      <c r="C2" s="8">
        <v>24</v>
      </c>
      <c r="D2" s="8">
        <v>23</v>
      </c>
      <c r="E2" s="8">
        <v>22</v>
      </c>
      <c r="F2" s="8">
        <v>21</v>
      </c>
      <c r="G2" s="8">
        <v>20</v>
      </c>
      <c r="H2" s="8">
        <v>20</v>
      </c>
      <c r="I2" s="8">
        <v>19</v>
      </c>
      <c r="J2" s="8">
        <v>19</v>
      </c>
      <c r="K2" s="8">
        <v>19</v>
      </c>
      <c r="L2" s="8">
        <v>19</v>
      </c>
      <c r="M2" s="8">
        <v>19</v>
      </c>
      <c r="N2" s="8">
        <v>19</v>
      </c>
      <c r="O2" s="8">
        <v>19</v>
      </c>
      <c r="P2" s="8">
        <v>19</v>
      </c>
      <c r="Q2" s="8">
        <v>19</v>
      </c>
    </row>
    <row r="3" spans="1:17" x14ac:dyDescent="0.2">
      <c r="A3" s="12" t="s">
        <v>34</v>
      </c>
      <c r="B3" s="9" t="s">
        <v>17</v>
      </c>
      <c r="C3" s="8">
        <v>20</v>
      </c>
      <c r="D3" s="8">
        <v>20</v>
      </c>
      <c r="E3" s="8">
        <v>20</v>
      </c>
      <c r="F3" s="8">
        <v>19</v>
      </c>
      <c r="G3" s="8">
        <v>19</v>
      </c>
      <c r="H3" s="8">
        <v>19</v>
      </c>
      <c r="I3" s="8">
        <v>19</v>
      </c>
      <c r="J3" s="8">
        <v>19</v>
      </c>
      <c r="K3" s="8">
        <v>19</v>
      </c>
      <c r="L3" s="8">
        <v>19</v>
      </c>
      <c r="M3" s="8">
        <v>19</v>
      </c>
      <c r="N3" s="8">
        <v>19</v>
      </c>
      <c r="O3" s="8">
        <v>19</v>
      </c>
      <c r="P3" s="8">
        <v>19</v>
      </c>
      <c r="Q3" s="8">
        <v>19</v>
      </c>
    </row>
    <row r="4" spans="1:17" x14ac:dyDescent="0.2">
      <c r="A4" s="13" t="s">
        <v>34</v>
      </c>
      <c r="B4" s="10" t="s">
        <v>18</v>
      </c>
      <c r="C4" s="8">
        <v>16</v>
      </c>
      <c r="D4" s="8">
        <v>17</v>
      </c>
      <c r="E4" s="8">
        <v>16</v>
      </c>
      <c r="F4" s="8">
        <v>19</v>
      </c>
      <c r="G4" s="8">
        <v>18</v>
      </c>
      <c r="H4" s="8">
        <v>18</v>
      </c>
      <c r="I4" s="8">
        <v>16</v>
      </c>
      <c r="J4" s="8">
        <v>15</v>
      </c>
      <c r="K4" s="8">
        <v>14</v>
      </c>
      <c r="L4" s="8">
        <v>14</v>
      </c>
      <c r="M4" s="8">
        <v>14</v>
      </c>
      <c r="N4" s="8">
        <v>13</v>
      </c>
      <c r="O4" s="8">
        <v>8</v>
      </c>
      <c r="P4" s="8">
        <v>8</v>
      </c>
      <c r="Q4" s="8">
        <v>8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0.66300000000000003</v>
      </c>
      <c r="D6" s="19">
        <v>0.75390000000000001</v>
      </c>
      <c r="E6" s="19">
        <v>0.749</v>
      </c>
      <c r="F6" s="19">
        <v>0.88400000000000001</v>
      </c>
      <c r="G6" s="19">
        <v>0.91969999999999996</v>
      </c>
      <c r="H6" s="19">
        <v>0.8982</v>
      </c>
      <c r="I6" s="19">
        <v>0.83279999999999998</v>
      </c>
      <c r="J6" s="19">
        <v>0.78800000000000003</v>
      </c>
      <c r="K6" s="19">
        <v>0.75639999999999996</v>
      </c>
      <c r="L6" s="19">
        <v>0.71499999999999997</v>
      </c>
      <c r="M6" s="19">
        <v>0.71760000000000002</v>
      </c>
      <c r="N6" s="19">
        <v>0.70179999999999998</v>
      </c>
      <c r="O6" s="19">
        <v>0.44130000000000003</v>
      </c>
      <c r="P6" s="19">
        <v>0.44130000000000003</v>
      </c>
      <c r="Q6" s="19">
        <v>0.44130000000000003</v>
      </c>
    </row>
    <row r="7" spans="1:17" x14ac:dyDescent="0.2">
      <c r="A7" s="17"/>
      <c r="B7" s="18" t="s">
        <v>24</v>
      </c>
      <c r="C7" s="20">
        <v>8</v>
      </c>
      <c r="D7" s="20">
        <v>6</v>
      </c>
      <c r="E7" s="20">
        <v>6</v>
      </c>
      <c r="F7" s="20">
        <v>2</v>
      </c>
      <c r="G7" s="20">
        <v>2</v>
      </c>
      <c r="H7" s="20">
        <v>2</v>
      </c>
      <c r="I7" s="20">
        <v>3</v>
      </c>
      <c r="J7" s="20">
        <v>4</v>
      </c>
      <c r="K7" s="20">
        <v>5</v>
      </c>
      <c r="L7" s="20">
        <v>5</v>
      </c>
      <c r="M7" s="20">
        <v>5</v>
      </c>
      <c r="N7" s="20">
        <v>6</v>
      </c>
      <c r="O7" s="20">
        <v>11</v>
      </c>
      <c r="P7" s="20">
        <v>11</v>
      </c>
      <c r="Q7" s="20">
        <v>11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24</v>
      </c>
      <c r="D9" s="8">
        <v>23</v>
      </c>
      <c r="E9" s="8">
        <v>22</v>
      </c>
      <c r="F9" s="8">
        <v>21</v>
      </c>
      <c r="G9" s="8">
        <v>20</v>
      </c>
      <c r="H9" s="8">
        <v>20</v>
      </c>
      <c r="I9" s="8">
        <v>19</v>
      </c>
      <c r="J9" s="8">
        <v>19</v>
      </c>
      <c r="K9" s="8">
        <v>19</v>
      </c>
      <c r="L9" s="8">
        <v>19</v>
      </c>
      <c r="M9" s="8">
        <v>19</v>
      </c>
      <c r="N9" s="8">
        <v>19</v>
      </c>
      <c r="O9" s="8">
        <v>19</v>
      </c>
      <c r="P9" s="8">
        <v>19</v>
      </c>
      <c r="Q9" s="8">
        <v>19</v>
      </c>
    </row>
    <row r="10" spans="1:17" x14ac:dyDescent="0.2">
      <c r="A10" s="9" t="s">
        <v>17</v>
      </c>
      <c r="B10" s="12" t="s">
        <v>19</v>
      </c>
      <c r="C10" s="8">
        <v>20</v>
      </c>
      <c r="D10" s="8">
        <v>20</v>
      </c>
      <c r="E10" s="8">
        <v>20</v>
      </c>
      <c r="F10" s="8">
        <v>19</v>
      </c>
      <c r="G10" s="8">
        <v>19</v>
      </c>
      <c r="H10" s="8">
        <v>19</v>
      </c>
      <c r="I10" s="8">
        <v>19</v>
      </c>
      <c r="J10" s="8">
        <v>19</v>
      </c>
      <c r="K10" s="8">
        <v>19</v>
      </c>
      <c r="L10" s="8">
        <v>19</v>
      </c>
      <c r="M10" s="8">
        <v>19</v>
      </c>
      <c r="N10" s="8">
        <v>19</v>
      </c>
      <c r="O10" s="8">
        <v>19</v>
      </c>
      <c r="P10" s="8">
        <v>19</v>
      </c>
      <c r="Q10" s="8">
        <v>19</v>
      </c>
    </row>
    <row r="11" spans="1:17" x14ac:dyDescent="0.2">
      <c r="A11" s="16" t="s">
        <v>18</v>
      </c>
      <c r="B11" s="13" t="s">
        <v>19</v>
      </c>
      <c r="C11" s="8">
        <v>16</v>
      </c>
      <c r="D11" s="8">
        <v>17</v>
      </c>
      <c r="E11" s="8">
        <v>16</v>
      </c>
      <c r="F11" s="8">
        <v>19</v>
      </c>
      <c r="G11" s="8">
        <v>18</v>
      </c>
      <c r="H11" s="8">
        <v>18</v>
      </c>
      <c r="I11" s="8">
        <v>16</v>
      </c>
      <c r="J11" s="8">
        <v>15</v>
      </c>
      <c r="K11" s="8">
        <v>14</v>
      </c>
      <c r="L11" s="8">
        <v>14</v>
      </c>
      <c r="M11" s="8">
        <v>14</v>
      </c>
      <c r="N11" s="8">
        <v>13</v>
      </c>
      <c r="O11" s="8">
        <v>8</v>
      </c>
      <c r="P11" s="8">
        <v>8</v>
      </c>
      <c r="Q11" s="8">
        <v>8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34</v>
      </c>
      <c r="B32" s="7" t="s">
        <v>16</v>
      </c>
      <c r="C32" s="26">
        <v>23</v>
      </c>
      <c r="D32" s="21">
        <v>20</v>
      </c>
      <c r="E32" s="21">
        <v>19</v>
      </c>
      <c r="F32" s="21">
        <v>19</v>
      </c>
      <c r="G32" s="21">
        <v>19</v>
      </c>
    </row>
    <row r="33" spans="1:7" x14ac:dyDescent="0.2">
      <c r="A33" s="12" t="s">
        <v>34</v>
      </c>
      <c r="B33" s="9" t="s">
        <v>17</v>
      </c>
      <c r="C33" s="26">
        <v>20</v>
      </c>
      <c r="D33" s="21">
        <v>19</v>
      </c>
      <c r="E33" s="21">
        <v>19</v>
      </c>
      <c r="F33" s="21">
        <v>19</v>
      </c>
      <c r="G33" s="21">
        <v>19</v>
      </c>
    </row>
    <row r="34" spans="1:7" x14ac:dyDescent="0.2">
      <c r="A34" s="13" t="s">
        <v>34</v>
      </c>
      <c r="B34" s="10" t="s">
        <v>18</v>
      </c>
      <c r="C34" s="26">
        <v>17</v>
      </c>
      <c r="D34" s="21">
        <v>18</v>
      </c>
      <c r="E34" s="21">
        <v>15</v>
      </c>
      <c r="F34" s="21">
        <v>14</v>
      </c>
      <c r="G34" s="21">
        <v>12</v>
      </c>
    </row>
    <row r="35" spans="1:7" x14ac:dyDescent="0.2">
      <c r="A35" s="17"/>
      <c r="B35" s="8"/>
      <c r="C35" s="27">
        <v>0.27929999999999999</v>
      </c>
      <c r="D35" s="28">
        <v>9.9699999999999997E-2</v>
      </c>
      <c r="E35" s="28">
        <v>0.20760000000000001</v>
      </c>
      <c r="F35" s="28">
        <v>0.28849999999999998</v>
      </c>
      <c r="G35" s="28">
        <v>0.37969999999999998</v>
      </c>
    </row>
    <row r="36" spans="1:7" x14ac:dyDescent="0.2">
      <c r="A36" s="8"/>
      <c r="B36" s="18" t="s">
        <v>23</v>
      </c>
      <c r="C36" s="29">
        <v>0.72070000000000001</v>
      </c>
      <c r="D36" s="19">
        <v>0.90029999999999999</v>
      </c>
      <c r="E36" s="19">
        <v>0.79239999999999999</v>
      </c>
      <c r="F36" s="19">
        <v>0.71150000000000002</v>
      </c>
      <c r="G36" s="19">
        <v>0.62029999999999996</v>
      </c>
    </row>
    <row r="37" spans="1:7" x14ac:dyDescent="0.2">
      <c r="A37" s="17"/>
      <c r="B37" s="18" t="s">
        <v>24</v>
      </c>
      <c r="C37" s="30">
        <v>6</v>
      </c>
      <c r="D37" s="20">
        <v>2</v>
      </c>
      <c r="E37" s="20">
        <v>4</v>
      </c>
      <c r="F37" s="20">
        <v>5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23</v>
      </c>
      <c r="D39" s="21">
        <v>20</v>
      </c>
      <c r="E39" s="21">
        <v>19</v>
      </c>
      <c r="F39" s="21">
        <v>19</v>
      </c>
      <c r="G39" s="21">
        <v>19</v>
      </c>
    </row>
    <row r="40" spans="1:7" x14ac:dyDescent="0.2">
      <c r="A40" s="9" t="s">
        <v>17</v>
      </c>
      <c r="B40" s="12" t="s">
        <v>19</v>
      </c>
      <c r="C40" s="26">
        <v>20</v>
      </c>
      <c r="D40" s="21">
        <v>19</v>
      </c>
      <c r="E40" s="21">
        <v>19</v>
      </c>
      <c r="F40" s="21">
        <v>19</v>
      </c>
      <c r="G40" s="21">
        <v>19</v>
      </c>
    </row>
    <row r="41" spans="1:7" x14ac:dyDescent="0.2">
      <c r="A41" s="16" t="s">
        <v>18</v>
      </c>
      <c r="B41" s="13" t="s">
        <v>19</v>
      </c>
      <c r="C41" s="26">
        <v>17</v>
      </c>
      <c r="D41" s="21">
        <v>18</v>
      </c>
      <c r="E41" s="21">
        <v>15</v>
      </c>
      <c r="F41" s="21">
        <v>14</v>
      </c>
      <c r="G41" s="21">
        <v>12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888F-7B75-244A-B119-7132B64EC1D8}">
  <sheetPr>
    <tabColor theme="9" tint="0.79998168889431442"/>
  </sheetPr>
  <dimension ref="A1:P47"/>
  <sheetViews>
    <sheetView tabSelected="1" workbookViewId="0">
      <selection activeCell="E37" sqref="E37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IF(AIC!C1&gt;0,AIC!C1,"")</f>
        <v>JAN</v>
      </c>
      <c r="C1" t="str">
        <f>IF(AIC!D1&gt;0,AIC!D1,"")</f>
        <v>FEB</v>
      </c>
      <c r="D1" t="str">
        <f>IF(AIC!E1&gt;0,AIC!E1,"")</f>
        <v>MAR</v>
      </c>
      <c r="E1" t="str">
        <f>IF(AIC!F1&gt;0,AIC!F1,"")</f>
        <v>APR</v>
      </c>
      <c r="F1" t="str">
        <f>IF(AIC!G1&gt;0,AIC!G1,"")</f>
        <v>MAY</v>
      </c>
      <c r="G1" t="str">
        <f>IF(AIC!H1&gt;0,AIC!H1,"")</f>
        <v>JUN</v>
      </c>
      <c r="H1" t="str">
        <f>IF(AIC!I1&gt;0,AIC!I1,"")</f>
        <v>JUL</v>
      </c>
      <c r="I1" t="str">
        <f>IF(AIC!J1&gt;0,AIC!J1,"")</f>
        <v>AUG</v>
      </c>
      <c r="J1" t="str">
        <f>IF(AIC!K1&gt;0,AIC!K1,"")</f>
        <v>SEP</v>
      </c>
      <c r="K1" t="str">
        <f>IF(AIC!L1&gt;0,AIC!L1,"")</f>
        <v>OCT</v>
      </c>
      <c r="L1" t="str">
        <f>IF(AIC!M1&gt;0,AIC!M1,"")</f>
        <v>NOV</v>
      </c>
      <c r="M1" t="str">
        <f>IF(AIC!N1&gt;0,AIC!N1,"")</f>
        <v>DEC</v>
      </c>
      <c r="N1" t="str">
        <f>IF(AIC!O1&gt;0,AIC!O1,"")</f>
        <v>JAN'27</v>
      </c>
      <c r="O1" t="str">
        <f>IF(AIC!P1&gt;0,AIC!P1,"")</f>
        <v>FEB'27</v>
      </c>
      <c r="P1" t="str">
        <f>IF(AIC!Q1&gt;0,AIC!Q1,"")</f>
        <v>MAR'27</v>
      </c>
    </row>
    <row r="2" spans="1:16" x14ac:dyDescent="0.2">
      <c r="A2" t="str">
        <f>IF(AIC!B2&gt;0,AIC!B2,"")</f>
        <v>Staff</v>
      </c>
      <c r="B2">
        <f>IF(AIC!C2&gt;0,AIC!C2,"")</f>
        <v>24</v>
      </c>
      <c r="C2">
        <f>IF(AIC!D2&gt;0,AIC!D2,"")</f>
        <v>23</v>
      </c>
      <c r="D2">
        <f>IF(AIC!E2&gt;0,AIC!E2,"")</f>
        <v>22</v>
      </c>
      <c r="E2">
        <f>IF(AIC!F2&gt;0,AIC!F2,"")</f>
        <v>21</v>
      </c>
      <c r="F2">
        <f>IF(AIC!G2&gt;0,AIC!G2,"")</f>
        <v>20</v>
      </c>
      <c r="G2">
        <f>IF(AIC!H2&gt;0,AIC!H2,"")</f>
        <v>20</v>
      </c>
      <c r="H2">
        <f>IF(AIC!I2&gt;0,AIC!I2,"")</f>
        <v>19</v>
      </c>
      <c r="I2">
        <f>IF(AIC!J2&gt;0,AIC!J2,"")</f>
        <v>19</v>
      </c>
      <c r="J2">
        <f>IF(AIC!K2&gt;0,AIC!K2,"")</f>
        <v>19</v>
      </c>
      <c r="K2">
        <f>IF(AIC!L2&gt;0,AIC!L2,"")</f>
        <v>19</v>
      </c>
      <c r="L2">
        <f>IF(AIC!M2&gt;0,AIC!M2,"")</f>
        <v>19</v>
      </c>
      <c r="M2">
        <f>IF(AIC!N2&gt;0,AIC!N2,"")</f>
        <v>19</v>
      </c>
      <c r="N2">
        <f>IF(AIC!O2&gt;0,AIC!O2,"")</f>
        <v>19</v>
      </c>
      <c r="O2">
        <f>IF(AIC!P2&gt;0,AIC!P2,"")</f>
        <v>19</v>
      </c>
      <c r="P2">
        <f>IF(AIC!Q2&gt;0,AIC!Q2,"")</f>
        <v>19</v>
      </c>
    </row>
    <row r="3" spans="1:16" x14ac:dyDescent="0.2">
      <c r="A3" t="str">
        <f>IF(AIC!B3&gt;0,AIC!B3,"")</f>
        <v>Staff AVG</v>
      </c>
      <c r="B3">
        <f>IF(AIC!C3&gt;0,AIC!C3,"")</f>
        <v>20</v>
      </c>
      <c r="C3">
        <f>IF(AIC!D3&gt;0,AIC!D3,"")</f>
        <v>20</v>
      </c>
      <c r="D3">
        <f>IF(AIC!E3&gt;0,AIC!E3,"")</f>
        <v>20</v>
      </c>
      <c r="E3">
        <f>IF(AIC!F3&gt;0,AIC!F3,"")</f>
        <v>19</v>
      </c>
      <c r="F3">
        <f>IF(AIC!G3&gt;0,AIC!G3,"")</f>
        <v>19</v>
      </c>
      <c r="G3">
        <f>IF(AIC!H3&gt;0,AIC!H3,"")</f>
        <v>19</v>
      </c>
      <c r="H3">
        <f>IF(AIC!I3&gt;0,AIC!I3,"")</f>
        <v>19</v>
      </c>
      <c r="I3">
        <f>IF(AIC!J3&gt;0,AIC!J3,"")</f>
        <v>19</v>
      </c>
      <c r="J3">
        <f>IF(AIC!K3&gt;0,AIC!K3,"")</f>
        <v>19</v>
      </c>
      <c r="K3">
        <f>IF(AIC!L3&gt;0,AIC!L3,"")</f>
        <v>19</v>
      </c>
      <c r="L3">
        <f>IF(AIC!M3&gt;0,AIC!M3,"")</f>
        <v>19</v>
      </c>
      <c r="M3">
        <f>IF(AIC!N3&gt;0,AIC!N3,"")</f>
        <v>19</v>
      </c>
      <c r="N3">
        <f>IF(AIC!O3&gt;0,AIC!O3,"")</f>
        <v>19</v>
      </c>
      <c r="O3">
        <f>IF(AIC!P3&gt;0,AIC!P3,"")</f>
        <v>19</v>
      </c>
      <c r="P3">
        <f>IF(AIC!Q3&gt;0,AIC!Q3,"")</f>
        <v>19</v>
      </c>
    </row>
    <row r="4" spans="1:16" x14ac:dyDescent="0.2">
      <c r="A4" t="str">
        <f>IF(AIC!B4&gt;0,AIC!B4,"")</f>
        <v>Plan</v>
      </c>
      <c r="B4">
        <f>IF(AIC!C4&gt;0,AIC!C4,"")</f>
        <v>16</v>
      </c>
      <c r="C4">
        <f>IF(AIC!D4&gt;0,AIC!D4,"")</f>
        <v>17</v>
      </c>
      <c r="D4">
        <f>IF(AIC!E4&gt;0,AIC!E4,"")</f>
        <v>16</v>
      </c>
      <c r="E4">
        <f>IF(AIC!F4&gt;0,AIC!F4,"")</f>
        <v>19</v>
      </c>
      <c r="F4">
        <f>IF(AIC!G4&gt;0,AIC!G4,"")</f>
        <v>18</v>
      </c>
      <c r="G4">
        <f>IF(AIC!H4&gt;0,AIC!H4,"")</f>
        <v>18</v>
      </c>
      <c r="H4">
        <f>IF(AIC!I4&gt;0,AIC!I4,"")</f>
        <v>16</v>
      </c>
      <c r="I4">
        <f>IF(AIC!J4&gt;0,AIC!J4,"")</f>
        <v>15</v>
      </c>
      <c r="J4">
        <f>IF(AIC!K4&gt;0,AIC!K4,"")</f>
        <v>14</v>
      </c>
      <c r="K4">
        <f>IF(AIC!L4&gt;0,AIC!L4,"")</f>
        <v>14</v>
      </c>
      <c r="L4">
        <f>IF(AIC!M4&gt;0,AIC!M4,"")</f>
        <v>14</v>
      </c>
      <c r="M4">
        <f>IF(AIC!N4&gt;0,AIC!N4,"")</f>
        <v>13</v>
      </c>
      <c r="N4">
        <f>IF(AIC!O4&gt;0,AIC!O4,"")</f>
        <v>8</v>
      </c>
      <c r="O4">
        <f>IF(AIC!P4&gt;0,AIC!P4,"")</f>
        <v>8</v>
      </c>
      <c r="P4">
        <f>IF(AIC!Q4&gt;0,AIC!Q4,"")</f>
        <v>8</v>
      </c>
    </row>
    <row r="5" spans="1:16" x14ac:dyDescent="0.2">
      <c r="A5" t="str">
        <f>IF(AIC!B11&gt;0,AIC!B11,"")</f>
        <v>PAYROLL</v>
      </c>
      <c r="B5">
        <f>IF(AIC!C11&gt;0,AIC!C11,"")</f>
        <v>16</v>
      </c>
      <c r="C5">
        <f>IF(AIC!D11&gt;0,AIC!D11,"")</f>
        <v>17</v>
      </c>
      <c r="D5">
        <f>IF(AIC!E11&gt;0,AIC!E11,"")</f>
        <v>16</v>
      </c>
      <c r="E5">
        <f>IF(AIC!F11&gt;0,AIC!F11,"")</f>
        <v>19</v>
      </c>
      <c r="F5">
        <f>IF(AIC!G11&gt;0,AIC!G11,"")</f>
        <v>18</v>
      </c>
      <c r="G5">
        <f>IF(AIC!H11&gt;0,AIC!H11,"")</f>
        <v>18</v>
      </c>
      <c r="H5">
        <f>IF(AIC!I11&gt;0,AIC!I11,"")</f>
        <v>16</v>
      </c>
      <c r="I5">
        <f>IF(AIC!J11&gt;0,AIC!J11,"")</f>
        <v>15</v>
      </c>
      <c r="J5">
        <f>IF(AIC!K11&gt;0,AIC!K11,"")</f>
        <v>14</v>
      </c>
      <c r="K5">
        <f>IF(AIC!L11&gt;0,AIC!L11,"")</f>
        <v>14</v>
      </c>
      <c r="L5">
        <f>IF(AIC!M11&gt;0,AIC!M11,"")</f>
        <v>14</v>
      </c>
      <c r="M5">
        <f>IF(AIC!N11&gt;0,AIC!N11,"")</f>
        <v>13</v>
      </c>
      <c r="N5">
        <f>IF(AIC!O11&gt;0,AIC!O11,"")</f>
        <v>8</v>
      </c>
      <c r="O5">
        <f>IF(AIC!P11&gt;0,AIC!P11,"")</f>
        <v>8</v>
      </c>
      <c r="P5">
        <f>IF(AIC!Q11&gt;0,AIC!Q11,"")</f>
        <v>8</v>
      </c>
    </row>
    <row r="6" spans="1:16" x14ac:dyDescent="0.2">
      <c r="A6" t="str">
        <f>IF(AIC!B15&gt;0,AIC!B15,"")</f>
        <v>CONTRACTOR</v>
      </c>
      <c r="B6" t="str">
        <f>IF(AIC!C15&gt;0,AIC!C15,"")</f>
        <v/>
      </c>
      <c r="C6" t="str">
        <f>IF(AIC!D15&gt;0,AIC!D15,"")</f>
        <v/>
      </c>
      <c r="D6" t="str">
        <f>IF(AIC!E15&gt;0,AIC!E15,"")</f>
        <v/>
      </c>
      <c r="E6" t="str">
        <f>IF(AIC!F15&gt;0,AIC!F15,"")</f>
        <v/>
      </c>
      <c r="F6" t="str">
        <f>IF(AIC!G15&gt;0,AIC!G15,"")</f>
        <v/>
      </c>
      <c r="G6" t="str">
        <f>IF(AIC!H15&gt;0,AIC!H15,"")</f>
        <v/>
      </c>
      <c r="H6" t="str">
        <f>IF(AIC!I15&gt;0,AIC!I15,"")</f>
        <v/>
      </c>
      <c r="I6" t="str">
        <f>IF(AIC!J15&gt;0,AIC!J15,"")</f>
        <v/>
      </c>
      <c r="J6" t="str">
        <f>IF(AIC!K15&gt;0,AIC!K15,"")</f>
        <v/>
      </c>
      <c r="K6" t="str">
        <f>IF(AIC!L15&gt;0,AIC!L15,"")</f>
        <v/>
      </c>
      <c r="L6" t="str">
        <f>IF(AIC!M15&gt;0,AIC!M15,"")</f>
        <v/>
      </c>
      <c r="M6" t="str">
        <f>IF(AIC!N15&gt;0,AIC!N15,"")</f>
        <v/>
      </c>
      <c r="N6" t="str">
        <f>IF(AIC!O15&gt;0,AIC!O15,"")</f>
        <v/>
      </c>
      <c r="O6" t="str">
        <f>IF(AIC!P15&gt;0,AIC!P15,"")</f>
        <v/>
      </c>
      <c r="P6" t="str">
        <f>IF(AIC!Q15&gt;0,AIC!Q15,"")</f>
        <v/>
      </c>
    </row>
    <row r="7" spans="1:16" x14ac:dyDescent="0.2">
      <c r="A7" t="str">
        <f>IF(AIC!B19&gt;0,AIC!B19,"")</f>
        <v>OUTSOURCE</v>
      </c>
      <c r="B7" t="str">
        <f>IF(AIC!C19&gt;0,AIC!C19,"")</f>
        <v/>
      </c>
      <c r="C7" t="str">
        <f>IF(AIC!D19&gt;0,AIC!D19,"")</f>
        <v/>
      </c>
      <c r="D7" t="str">
        <f>IF(AIC!E19&gt;0,AIC!E19,"")</f>
        <v/>
      </c>
      <c r="E7" t="str">
        <f>IF(AIC!F19&gt;0,AIC!F19,"")</f>
        <v/>
      </c>
      <c r="F7" t="str">
        <f>IF(AIC!G19&gt;0,AIC!G19,"")</f>
        <v/>
      </c>
      <c r="G7" t="str">
        <f>IF(AIC!H19&gt;0,AIC!H19,"")</f>
        <v/>
      </c>
      <c r="H7" t="str">
        <f>IF(AIC!I19&gt;0,AIC!I19,"")</f>
        <v/>
      </c>
      <c r="I7" t="str">
        <f>IF(AIC!J19&gt;0,AIC!J19,"")</f>
        <v/>
      </c>
      <c r="J7" t="str">
        <f>IF(AIC!K19&gt;0,AIC!K19,"")</f>
        <v/>
      </c>
      <c r="K7" t="str">
        <f>IF(AIC!L19&gt;0,AIC!L19,"")</f>
        <v/>
      </c>
      <c r="L7" t="str">
        <f>IF(AIC!M19&gt;0,AIC!M19,"")</f>
        <v/>
      </c>
      <c r="M7" t="str">
        <f>IF(AIC!N19&gt;0,AIC!N19,"")</f>
        <v/>
      </c>
      <c r="N7" t="str">
        <f>IF(AIC!O19&gt;0,AIC!O19,"")</f>
        <v/>
      </c>
      <c r="O7" t="str">
        <f>IF(AIC!P19&gt;0,AIC!P19,"")</f>
        <v/>
      </c>
      <c r="P7" t="str">
        <f>IF(AIC!Q19&gt;0,AIC!Q19,"")</f>
        <v/>
      </c>
    </row>
    <row r="11" spans="1:16" x14ac:dyDescent="0.2">
      <c r="B11" t="str">
        <f>IF(AIC!C1&gt;0,AIC!C1,"")</f>
        <v>JAN</v>
      </c>
      <c r="C11" t="str">
        <f>IF(AIC!D1&gt;0,AIC!D1,"")</f>
        <v>FEB</v>
      </c>
      <c r="D11" t="str">
        <f>IF(AIC!E1&gt;0,AIC!E1,"")</f>
        <v>MAR</v>
      </c>
      <c r="E11" t="str">
        <f>IF(AIC!F1&gt;0,AIC!F1,"")</f>
        <v>APR</v>
      </c>
      <c r="F11" t="str">
        <f>IF(AIC!G1&gt;0,AIC!G1,"")</f>
        <v>MAY</v>
      </c>
      <c r="G11" t="str">
        <f>IF(AIC!H1&gt;0,AIC!H1,"")</f>
        <v>JUN</v>
      </c>
      <c r="H11" t="str">
        <f>IF(AIC!I1&gt;0,AIC!I1,"")</f>
        <v>JUL</v>
      </c>
      <c r="I11" t="str">
        <f>IF(AIC!J1&gt;0,AIC!J1,"")</f>
        <v>AUG</v>
      </c>
      <c r="J11" t="str">
        <f>IF(AIC!K1&gt;0,AIC!K1,"")</f>
        <v>SEP</v>
      </c>
      <c r="K11" t="str">
        <f>IF(AIC!L1&gt;0,AIC!L1,"")</f>
        <v>OCT</v>
      </c>
      <c r="L11" t="str">
        <f>IF(AIC!M1&gt;0,AIC!M1,"")</f>
        <v>NOV</v>
      </c>
      <c r="M11" t="str">
        <f>IF(AIC!N1&gt;0,AIC!N1,"")</f>
        <v>DEC</v>
      </c>
      <c r="N11" t="str">
        <f>IF(AIC!O1&gt;0,AIC!O1,"")</f>
        <v>JAN'27</v>
      </c>
      <c r="O11" t="str">
        <f>IF(AIC!P1&gt;0,AIC!P1,"")</f>
        <v>FEB'27</v>
      </c>
      <c r="P11" t="str">
        <f>IF(AIC!Q1&gt;0,AIC!Q1,"")</f>
        <v>MAR'27</v>
      </c>
    </row>
    <row r="12" spans="1:16" x14ac:dyDescent="0.2">
      <c r="A12" t="str">
        <f>IF(AIC!B2&gt;0,AIC!B2,"")</f>
        <v>Staff</v>
      </c>
      <c r="B12">
        <f>IF(AIC!C9&gt;0,AIC!C9,"")</f>
        <v>24</v>
      </c>
      <c r="C12">
        <f>IF(AIC!D9&gt;0,AIC!D9,"")</f>
        <v>23</v>
      </c>
      <c r="D12">
        <f>IF(AIC!E9&gt;0,AIC!E9,"")</f>
        <v>22</v>
      </c>
      <c r="E12">
        <f>IF(AIC!F9&gt;0,AIC!F9,"")</f>
        <v>21</v>
      </c>
      <c r="F12">
        <f>IF(AIC!G9&gt;0,AIC!G9,"")</f>
        <v>20</v>
      </c>
      <c r="G12">
        <f>IF(AIC!H9&gt;0,AIC!H9,"")</f>
        <v>20</v>
      </c>
      <c r="H12">
        <f>IF(AIC!I9&gt;0,AIC!I9,"")</f>
        <v>19</v>
      </c>
      <c r="I12">
        <f>IF(AIC!J9&gt;0,AIC!J9,"")</f>
        <v>19</v>
      </c>
      <c r="J12">
        <f>IF(AIC!K9&gt;0,AIC!K9,"")</f>
        <v>19</v>
      </c>
      <c r="K12">
        <f>IF(AIC!L9&gt;0,AIC!L9,"")</f>
        <v>19</v>
      </c>
      <c r="L12">
        <f>IF(AIC!M9&gt;0,AIC!M9,"")</f>
        <v>19</v>
      </c>
      <c r="M12">
        <f>IF(AIC!N9&gt;0,AIC!N9,"")</f>
        <v>19</v>
      </c>
      <c r="N12">
        <f>IF(AIC!O9&gt;0,AIC!O9,"")</f>
        <v>19</v>
      </c>
      <c r="O12">
        <f>IF(AIC!P9&gt;0,AIC!P9,"")</f>
        <v>19</v>
      </c>
      <c r="P12">
        <f>IF(AIC!Q9&gt;0,AIC!Q9,"")</f>
        <v>19</v>
      </c>
    </row>
    <row r="13" spans="1:16" x14ac:dyDescent="0.2">
      <c r="A13" t="str">
        <f>IF(AIC!B3&gt;0,AIC!B3,"")</f>
        <v>Staff AVG</v>
      </c>
      <c r="B13">
        <f>IF(AIC!C10&gt;0,AIC!C10,"")</f>
        <v>20</v>
      </c>
      <c r="C13">
        <f>IF(AIC!D10&gt;0,AIC!D10,"")</f>
        <v>20</v>
      </c>
      <c r="D13">
        <f>IF(AIC!E10&gt;0,AIC!E10,"")</f>
        <v>20</v>
      </c>
      <c r="E13">
        <f>IF(AIC!F10&gt;0,AIC!F10,"")</f>
        <v>19</v>
      </c>
      <c r="F13">
        <f>IF(AIC!G10&gt;0,AIC!G10,"")</f>
        <v>19</v>
      </c>
      <c r="G13">
        <f>IF(AIC!H10&gt;0,AIC!H10,"")</f>
        <v>19</v>
      </c>
      <c r="H13">
        <f>IF(AIC!I10&gt;0,AIC!I10,"")</f>
        <v>19</v>
      </c>
      <c r="I13">
        <f>IF(AIC!J10&gt;0,AIC!J10,"")</f>
        <v>19</v>
      </c>
      <c r="J13">
        <f>IF(AIC!K10&gt;0,AIC!K10,"")</f>
        <v>19</v>
      </c>
      <c r="K13">
        <f>IF(AIC!L10&gt;0,AIC!L10,"")</f>
        <v>19</v>
      </c>
      <c r="L13">
        <f>IF(AIC!M10&gt;0,AIC!M10,"")</f>
        <v>19</v>
      </c>
      <c r="M13">
        <f>IF(AIC!N10&gt;0,AIC!N10,"")</f>
        <v>19</v>
      </c>
      <c r="N13">
        <f>IF(AIC!O10&gt;0,AIC!O10,"")</f>
        <v>19</v>
      </c>
      <c r="O13">
        <f>IF(AIC!P10&gt;0,AIC!P10,"")</f>
        <v>19</v>
      </c>
      <c r="P13">
        <f>IF(AIC!Q10&gt;0,AIC!Q10,"")</f>
        <v>19</v>
      </c>
    </row>
    <row r="14" spans="1:16" x14ac:dyDescent="0.2">
      <c r="A14" t="str">
        <f>IF(AIC!B4&gt;0,AIC!B4,"")</f>
        <v>Plan</v>
      </c>
      <c r="B14">
        <f>IF(AIC!C11&gt;0,AIC!C11,"")</f>
        <v>16</v>
      </c>
      <c r="C14">
        <f>IF(AIC!D11&gt;0,AIC!D11,"")</f>
        <v>17</v>
      </c>
      <c r="D14">
        <f>IF(AIC!E11&gt;0,AIC!E11,"")</f>
        <v>16</v>
      </c>
      <c r="E14">
        <f>IF(AIC!F11&gt;0,AIC!F11,"")</f>
        <v>19</v>
      </c>
      <c r="F14">
        <f>IF(AIC!G11&gt;0,AIC!G11,"")</f>
        <v>18</v>
      </c>
      <c r="G14">
        <f>IF(AIC!H11&gt;0,AIC!H11,"")</f>
        <v>18</v>
      </c>
      <c r="H14">
        <f>IF(AIC!I11&gt;0,AIC!I11,"")</f>
        <v>16</v>
      </c>
      <c r="I14">
        <f>IF(AIC!J11&gt;0,AIC!J11,"")</f>
        <v>15</v>
      </c>
      <c r="J14">
        <f>IF(AIC!K11&gt;0,AIC!K11,"")</f>
        <v>14</v>
      </c>
      <c r="K14">
        <f>IF(AIC!L11&gt;0,AIC!L11,"")</f>
        <v>14</v>
      </c>
      <c r="L14">
        <f>IF(AIC!M11&gt;0,AIC!M11,"")</f>
        <v>14</v>
      </c>
      <c r="M14">
        <f>IF(AIC!N11&gt;0,AIC!N11,"")</f>
        <v>13</v>
      </c>
      <c r="N14">
        <f>IF(AIC!O11&gt;0,AIC!O11,"")</f>
        <v>8</v>
      </c>
      <c r="O14">
        <f>IF(AIC!P11&gt;0,AIC!P11,"")</f>
        <v>8</v>
      </c>
      <c r="P14">
        <f>IF(AIC!Q11&gt;0,AIC!Q11,"")</f>
        <v>8</v>
      </c>
    </row>
    <row r="21" spans="1:16" x14ac:dyDescent="0.2">
      <c r="B21" t="str">
        <f>IF(AIC!C1&gt;0,AIC!C1,"")</f>
        <v>JAN</v>
      </c>
      <c r="C21" t="str">
        <f>IF(AIC!D1&gt;0,AIC!D1,"")</f>
        <v>FEB</v>
      </c>
      <c r="D21" t="str">
        <f>IF(AIC!E1&gt;0,AIC!E1,"")</f>
        <v>MAR</v>
      </c>
      <c r="E21" t="str">
        <f>IF(AIC!F1&gt;0,AIC!F1,"")</f>
        <v>APR</v>
      </c>
      <c r="F21" t="str">
        <f>IF(AIC!G1&gt;0,AIC!G1,"")</f>
        <v>MAY</v>
      </c>
      <c r="G21" t="str">
        <f>IF(AIC!H1&gt;0,AIC!H1,"")</f>
        <v>JUN</v>
      </c>
      <c r="H21" t="str">
        <f>IF(AIC!I1&gt;0,AIC!I1,"")</f>
        <v>JUL</v>
      </c>
      <c r="I21" t="str">
        <f>IF(AIC!J1&gt;0,AIC!J1,"")</f>
        <v>AUG</v>
      </c>
      <c r="J21" t="str">
        <f>IF(AIC!K1&gt;0,AIC!K1,"")</f>
        <v>SEP</v>
      </c>
      <c r="K21" t="str">
        <f>IF(AIC!L1&gt;0,AIC!L1,"")</f>
        <v>OCT</v>
      </c>
      <c r="L21" t="str">
        <f>IF(AIC!M1&gt;0,AIC!M1,"")</f>
        <v>NOV</v>
      </c>
      <c r="M21" t="str">
        <f>IF(AIC!N1&gt;0,AIC!N1,"")</f>
        <v>DEC</v>
      </c>
      <c r="N21" t="str">
        <f>IF(AIC!O1&gt;0,AIC!O1,"")</f>
        <v>JAN'27</v>
      </c>
      <c r="O21" t="str">
        <f>IF(AIC!P1&gt;0,AIC!P1,"")</f>
        <v>FEB'27</v>
      </c>
      <c r="P21" t="str">
        <f>IF(AIC!Q1&gt;0,AIC!Q1,"")</f>
        <v>MAR'27</v>
      </c>
    </row>
    <row r="22" spans="1:16" x14ac:dyDescent="0.2">
      <c r="A22" t="str">
        <f>IF(AIC!B2&gt;0,AIC!B2,"")</f>
        <v>Staff</v>
      </c>
      <c r="B22" t="str">
        <f>IF(AIC!C13&gt;0,AIC!C13,"")</f>
        <v/>
      </c>
      <c r="C22" t="str">
        <f>IF(AIC!D13&gt;0,AIC!D13,"")</f>
        <v/>
      </c>
      <c r="D22" t="str">
        <f>IF(AIC!E13&gt;0,AIC!E13,"")</f>
        <v/>
      </c>
      <c r="E22" t="str">
        <f>IF(AIC!F13&gt;0,AIC!F13,"")</f>
        <v/>
      </c>
      <c r="F22" t="str">
        <f>IF(AIC!G13&gt;0,AIC!G13,"")</f>
        <v/>
      </c>
      <c r="G22" t="str">
        <f>IF(AIC!H13&gt;0,AIC!H13,"")</f>
        <v/>
      </c>
      <c r="H22" t="str">
        <f>IF(AIC!I13&gt;0,AIC!I13,"")</f>
        <v/>
      </c>
      <c r="I22" t="str">
        <f>IF(AIC!J13&gt;0,AIC!J13,"")</f>
        <v/>
      </c>
      <c r="J22" t="str">
        <f>IF(AIC!K13&gt;0,AIC!K13,"")</f>
        <v/>
      </c>
      <c r="K22" t="str">
        <f>IF(AIC!L13&gt;0,AIC!L13,"")</f>
        <v/>
      </c>
      <c r="L22" t="str">
        <f>IF(AIC!M13&gt;0,AIC!M13,"")</f>
        <v/>
      </c>
      <c r="M22" t="str">
        <f>IF(AIC!N13&gt;0,AIC!N13,"")</f>
        <v/>
      </c>
      <c r="N22" t="str">
        <f>IF(AIC!O13&gt;0,AIC!O13,"")</f>
        <v/>
      </c>
      <c r="O22" t="str">
        <f>IF(AIC!P13&gt;0,AIC!P13,"")</f>
        <v/>
      </c>
      <c r="P22" t="str">
        <f>IF(AIC!Q13&gt;0,AIC!Q13,"")</f>
        <v/>
      </c>
    </row>
    <row r="23" spans="1:16" x14ac:dyDescent="0.2">
      <c r="A23" t="str">
        <f>IF(AIC!B3&gt;0,AIC!B3,"")</f>
        <v>Staff AVG</v>
      </c>
      <c r="B23" t="str">
        <f>IF(AIC!C14&gt;0,AIC!C14,"")</f>
        <v/>
      </c>
      <c r="C23" t="str">
        <f>IF(AIC!D14&gt;0,AIC!D14,"")</f>
        <v/>
      </c>
      <c r="D23" t="str">
        <f>IF(AIC!E14&gt;0,AIC!E14,"")</f>
        <v/>
      </c>
      <c r="E23" t="str">
        <f>IF(AIC!F14&gt;0,AIC!F14,"")</f>
        <v/>
      </c>
      <c r="F23" t="str">
        <f>IF(AIC!G14&gt;0,AIC!G14,"")</f>
        <v/>
      </c>
      <c r="G23" t="str">
        <f>IF(AIC!H14&gt;0,AIC!H14,"")</f>
        <v/>
      </c>
      <c r="H23" t="str">
        <f>IF(AIC!I14&gt;0,AIC!I14,"")</f>
        <v/>
      </c>
      <c r="I23" t="str">
        <f>IF(AIC!J14&gt;0,AIC!J14,"")</f>
        <v/>
      </c>
      <c r="J23" t="str">
        <f>IF(AIC!K14&gt;0,AIC!K14,"")</f>
        <v/>
      </c>
      <c r="K23" t="str">
        <f>IF(AIC!L14&gt;0,AIC!L14,"")</f>
        <v/>
      </c>
      <c r="L23" t="str">
        <f>IF(AIC!M14&gt;0,AIC!M14,"")</f>
        <v/>
      </c>
      <c r="M23" t="str">
        <f>IF(AIC!N14&gt;0,AIC!N14,"")</f>
        <v/>
      </c>
      <c r="N23" t="str">
        <f>IF(AIC!O14&gt;0,AIC!O14,"")</f>
        <v/>
      </c>
      <c r="O23" t="str">
        <f>IF(AIC!P14&gt;0,AIC!P14,"")</f>
        <v/>
      </c>
      <c r="P23" t="str">
        <f>IF(AIC!Q14&gt;0,AIC!Q14,"")</f>
        <v/>
      </c>
    </row>
    <row r="24" spans="1:16" x14ac:dyDescent="0.2">
      <c r="A24" t="str">
        <f>IF(AIC!B4&gt;0,AIC!B4,"")</f>
        <v>Plan</v>
      </c>
      <c r="B24" t="str">
        <f>IF(AIC!C15&gt;0,AIC!C15,"")</f>
        <v/>
      </c>
      <c r="C24" t="str">
        <f>IF(AIC!D15&gt;0,AIC!D15,"")</f>
        <v/>
      </c>
      <c r="D24" t="str">
        <f>IF(AIC!E15&gt;0,AIC!E15,"")</f>
        <v/>
      </c>
      <c r="E24" t="str">
        <f>IF(AIC!F15&gt;0,AIC!F15,"")</f>
        <v/>
      </c>
      <c r="F24" t="str">
        <f>IF(AIC!G15&gt;0,AIC!G15,"")</f>
        <v/>
      </c>
      <c r="G24" t="str">
        <f>IF(AIC!H15&gt;0,AIC!H15,"")</f>
        <v/>
      </c>
      <c r="H24" t="str">
        <f>IF(AIC!I15&gt;0,AIC!I15,"")</f>
        <v/>
      </c>
      <c r="I24" t="str">
        <f>IF(AIC!J15&gt;0,AIC!J15,"")</f>
        <v/>
      </c>
      <c r="J24" t="str">
        <f>IF(AIC!K15&gt;0,AIC!K15,"")</f>
        <v/>
      </c>
      <c r="K24" t="str">
        <f>IF(AIC!L15&gt;0,AIC!L15,"")</f>
        <v/>
      </c>
      <c r="L24" t="str">
        <f>IF(AIC!M15&gt;0,AIC!M15,"")</f>
        <v/>
      </c>
      <c r="M24" t="str">
        <f>IF(AIC!N15&gt;0,AIC!N15,"")</f>
        <v/>
      </c>
      <c r="N24" t="str">
        <f>IF(AIC!O15&gt;0,AIC!O15,"")</f>
        <v/>
      </c>
      <c r="O24" t="str">
        <f>IF(AIC!P15&gt;0,AIC!P15,"")</f>
        <v/>
      </c>
      <c r="P24" t="str">
        <f>IF(AIC!Q15&gt;0,AIC!Q15,"")</f>
        <v/>
      </c>
    </row>
    <row r="31" spans="1:16" x14ac:dyDescent="0.2">
      <c r="B31" t="str">
        <f>IF(AIC!C1&gt;0,AIC!C1,"")</f>
        <v>JAN</v>
      </c>
      <c r="C31" t="str">
        <f>IF(AIC!D1&gt;0,AIC!D1,"")</f>
        <v>FEB</v>
      </c>
      <c r="D31" t="str">
        <f>IF(AIC!E1&gt;0,AIC!E1,"")</f>
        <v>MAR</v>
      </c>
      <c r="E31" t="str">
        <f>IF(AIC!F1&gt;0,AIC!F1,"")</f>
        <v>APR</v>
      </c>
      <c r="F31" t="str">
        <f>IF(AIC!G1&gt;0,AIC!G1,"")</f>
        <v>MAY</v>
      </c>
      <c r="G31" t="str">
        <f>IF(AIC!H1&gt;0,AIC!H1,"")</f>
        <v>JUN</v>
      </c>
      <c r="H31" t="str">
        <f>IF(AIC!I1&gt;0,AIC!I1,"")</f>
        <v>JUL</v>
      </c>
      <c r="I31" t="str">
        <f>IF(AIC!J1&gt;0,AIC!J1,"")</f>
        <v>AUG</v>
      </c>
      <c r="J31" t="str">
        <f>IF(AIC!K1&gt;0,AIC!K1,"")</f>
        <v>SEP</v>
      </c>
      <c r="K31" t="str">
        <f>IF(AIC!L1&gt;0,AIC!L1,"")</f>
        <v>OCT</v>
      </c>
      <c r="L31" t="str">
        <f>IF(AIC!M1&gt;0,AIC!M1,"")</f>
        <v>NOV</v>
      </c>
      <c r="M31" t="str">
        <f>IF(AIC!N1&gt;0,AIC!N1,"")</f>
        <v>DEC</v>
      </c>
      <c r="N31" t="str">
        <f>IF(AIC!O1&gt;0,AIC!O1,"")</f>
        <v>JAN'27</v>
      </c>
      <c r="O31" t="str">
        <f>IF(AIC!P1&gt;0,AIC!P1,"")</f>
        <v>FEB'27</v>
      </c>
      <c r="P31" t="str">
        <f>IF(AIC!Q1&gt;0,AIC!Q1,"")</f>
        <v>MAR'27</v>
      </c>
    </row>
    <row r="32" spans="1:16" x14ac:dyDescent="0.2">
      <c r="A32" t="str">
        <f>IF(AIC!B2&gt;0,AIC!B2,"")</f>
        <v>Staff</v>
      </c>
      <c r="B32" t="str">
        <f>IF(AIC!C17&gt;0,AIC!C17,"")</f>
        <v/>
      </c>
      <c r="C32" t="str">
        <f>IF(AIC!D17&gt;0,AIC!D17,"")</f>
        <v/>
      </c>
      <c r="D32" t="str">
        <f>IF(AIC!E17&gt;0,AIC!E17,"")</f>
        <v/>
      </c>
      <c r="E32" t="str">
        <f>IF(AIC!F17&gt;0,AIC!F17,"")</f>
        <v/>
      </c>
      <c r="F32" t="str">
        <f>IF(AIC!G17&gt;0,AIC!G17,"")</f>
        <v/>
      </c>
      <c r="G32" t="str">
        <f>IF(AIC!H17&gt;0,AIC!H17,"")</f>
        <v/>
      </c>
      <c r="H32" t="str">
        <f>IF(AIC!I17&gt;0,AIC!I17,"")</f>
        <v/>
      </c>
      <c r="I32" t="str">
        <f>IF(AIC!J17&gt;0,AIC!J17,"")</f>
        <v/>
      </c>
      <c r="J32" t="str">
        <f>IF(AIC!K17&gt;0,AIC!K17,"")</f>
        <v/>
      </c>
      <c r="K32" t="str">
        <f>IF(AIC!L17&gt;0,AIC!L17,"")</f>
        <v/>
      </c>
      <c r="L32" t="str">
        <f>IF(AIC!M17&gt;0,AIC!M17,"")</f>
        <v/>
      </c>
      <c r="M32" t="str">
        <f>IF(AIC!N17&gt;0,AIC!N17,"")</f>
        <v/>
      </c>
      <c r="N32" t="str">
        <f>IF(AIC!O17&gt;0,AIC!O17,"")</f>
        <v/>
      </c>
      <c r="O32" t="str">
        <f>IF(AIC!P17&gt;0,AIC!P17,"")</f>
        <v/>
      </c>
      <c r="P32" t="str">
        <f>IF(AIC!Q17&gt;0,AIC!Q17,"")</f>
        <v/>
      </c>
    </row>
    <row r="33" spans="1:16" x14ac:dyDescent="0.2">
      <c r="A33" t="str">
        <f>IF(AIC!B3&gt;0,AIC!B3,"")</f>
        <v>Staff AVG</v>
      </c>
      <c r="B33" t="str">
        <f>IF(AIC!C18&gt;0,AIC!C18,"")</f>
        <v/>
      </c>
      <c r="C33" t="str">
        <f>IF(AIC!D18&gt;0,AIC!D18,"")</f>
        <v/>
      </c>
      <c r="D33" t="str">
        <f>IF(AIC!E18&gt;0,AIC!E18,"")</f>
        <v/>
      </c>
      <c r="E33" t="str">
        <f>IF(AIC!F18&gt;0,AIC!F18,"")</f>
        <v/>
      </c>
      <c r="F33" t="str">
        <f>IF(AIC!G18&gt;0,AIC!G18,"")</f>
        <v/>
      </c>
      <c r="G33" t="str">
        <f>IF(AIC!H18&gt;0,AIC!H18,"")</f>
        <v/>
      </c>
      <c r="H33" t="str">
        <f>IF(AIC!I18&gt;0,AIC!I18,"")</f>
        <v/>
      </c>
      <c r="I33" t="str">
        <f>IF(AIC!J18&gt;0,AIC!J18,"")</f>
        <v/>
      </c>
      <c r="J33" t="str">
        <f>IF(AIC!K18&gt;0,AIC!K18,"")</f>
        <v/>
      </c>
      <c r="K33" t="str">
        <f>IF(AIC!L18&gt;0,AIC!L18,"")</f>
        <v/>
      </c>
      <c r="L33" t="str">
        <f>IF(AIC!M18&gt;0,AIC!M18,"")</f>
        <v/>
      </c>
      <c r="M33" t="str">
        <f>IF(AIC!N18&gt;0,AIC!N18,"")</f>
        <v/>
      </c>
      <c r="N33" t="str">
        <f>IF(AIC!O18&gt;0,AIC!O18,"")</f>
        <v/>
      </c>
      <c r="O33" t="str">
        <f>IF(AIC!P18&gt;0,AIC!P18,"")</f>
        <v/>
      </c>
      <c r="P33" t="str">
        <f>IF(AIC!Q18&gt;0,AIC!Q18,"")</f>
        <v/>
      </c>
    </row>
    <row r="34" spans="1:16" x14ac:dyDescent="0.2">
      <c r="A34" t="str">
        <f>IF(AIC!B4&gt;0,AIC!B4,"")</f>
        <v>Plan</v>
      </c>
      <c r="B34" t="str">
        <f>IF(AIC!C19&gt;0,AIC!C19,"")</f>
        <v/>
      </c>
      <c r="C34" t="str">
        <f>IF(AIC!D19&gt;0,AIC!D19,"")</f>
        <v/>
      </c>
      <c r="D34" t="str">
        <f>IF(AIC!E19&gt;0,AIC!E19,"")</f>
        <v/>
      </c>
      <c r="E34" t="str">
        <f>IF(AIC!F19&gt;0,AIC!F19,"")</f>
        <v/>
      </c>
      <c r="F34" t="str">
        <f>IF(AIC!G19&gt;0,AIC!G19,"")</f>
        <v/>
      </c>
      <c r="G34" t="str">
        <f>IF(AIC!H19&gt;0,AIC!H19,"")</f>
        <v/>
      </c>
      <c r="H34" t="str">
        <f>IF(AIC!I19&gt;0,AIC!I19,"")</f>
        <v/>
      </c>
      <c r="I34" t="str">
        <f>IF(AIC!J19&gt;0,AIC!J19,"")</f>
        <v/>
      </c>
      <c r="J34" t="str">
        <f>IF(AIC!K19&gt;0,AIC!K19,"")</f>
        <v/>
      </c>
      <c r="K34" t="str">
        <f>IF(AIC!L19&gt;0,AIC!L19,"")</f>
        <v/>
      </c>
      <c r="L34" t="str">
        <f>IF(AIC!M19&gt;0,AIC!M19,"")</f>
        <v/>
      </c>
      <c r="M34" t="str">
        <f>IF(AIC!N19&gt;0,AIC!N19,"")</f>
        <v/>
      </c>
      <c r="N34" t="str">
        <f>IF(AIC!O19&gt;0,AIC!O19,"")</f>
        <v/>
      </c>
      <c r="O34" t="str">
        <f>IF(AIC!P19&gt;0,AIC!P19,"")</f>
        <v/>
      </c>
      <c r="P34" t="str">
        <f>IF(AIC!Q19&gt;0,AIC!Q19,"")</f>
        <v/>
      </c>
    </row>
    <row r="41" spans="1:16" x14ac:dyDescent="0.2">
      <c r="B41" t="str">
        <f>IF(AIC!C31&gt;0,AIC!C31,"")</f>
        <v>Q1</v>
      </c>
      <c r="C41" t="str">
        <f>IF(AIC!D31&gt;0,AIC!D31,"")</f>
        <v>Q2</v>
      </c>
      <c r="D41" t="str">
        <f>IF(AIC!E31&gt;0,AIC!E31,"")</f>
        <v>Q3</v>
      </c>
      <c r="E41" t="str">
        <f>IF(AIC!F31&gt;0,AIC!F31,"")</f>
        <v>Q4</v>
      </c>
      <c r="F41" t="str">
        <f>IF(AIC!G31&gt;0,AIC!G31,"")</f>
        <v>Q1'27</v>
      </c>
    </row>
    <row r="42" spans="1:16" x14ac:dyDescent="0.2">
      <c r="A42" t="str">
        <f>IF(AIC!B32&gt;0,AIC!B32,"")</f>
        <v>Staff</v>
      </c>
      <c r="B42">
        <f>IF(AIC!C32&gt;0,AIC!C32,"")</f>
        <v>23</v>
      </c>
      <c r="C42">
        <f>IF(AIC!D32&gt;0,AIC!D32,"")</f>
        <v>20</v>
      </c>
      <c r="D42">
        <f>IF(AIC!E32&gt;0,AIC!E32,"")</f>
        <v>19</v>
      </c>
      <c r="E42">
        <f>IF(AIC!F32&gt;0,AIC!F32,"")</f>
        <v>19</v>
      </c>
      <c r="F42">
        <f>IF(AIC!G32&gt;0,AIC!G32,"")</f>
        <v>19</v>
      </c>
    </row>
    <row r="43" spans="1:16" x14ac:dyDescent="0.2">
      <c r="A43" t="str">
        <f>IF(AIC!B33&gt;0,AIC!B33,"")</f>
        <v>Staff AVG</v>
      </c>
      <c r="B43">
        <f>IF(AIC!C33&gt;0,AIC!C33,"")</f>
        <v>20</v>
      </c>
      <c r="C43">
        <f>IF(AIC!D33&gt;0,AIC!D33,"")</f>
        <v>19</v>
      </c>
      <c r="D43">
        <f>IF(AIC!E33&gt;0,AIC!E33,"")</f>
        <v>19</v>
      </c>
      <c r="E43">
        <f>IF(AIC!F33&gt;0,AIC!F33,"")</f>
        <v>19</v>
      </c>
      <c r="F43">
        <f>IF(AIC!G33&gt;0,AIC!G33,"")</f>
        <v>19</v>
      </c>
    </row>
    <row r="44" spans="1:16" x14ac:dyDescent="0.2">
      <c r="A44" t="str">
        <f>IF(AIC!B34&gt;0,AIC!B34,"")</f>
        <v>Plan</v>
      </c>
      <c r="B44">
        <f>IF(AIC!C34&gt;0,AIC!C34,"")</f>
        <v>17</v>
      </c>
      <c r="C44">
        <f>IF(AIC!D34&gt;0,AIC!D34,"")</f>
        <v>18</v>
      </c>
      <c r="D44">
        <f>IF(AIC!E34&gt;0,AIC!E34,"")</f>
        <v>15</v>
      </c>
      <c r="E44">
        <f>IF(AIC!F34&gt;0,AIC!F34,"")</f>
        <v>14</v>
      </c>
      <c r="F44">
        <f>IF(AIC!G34&gt;0,AIC!G34,"")</f>
        <v>12</v>
      </c>
    </row>
    <row r="45" spans="1:16" x14ac:dyDescent="0.2">
      <c r="A45" t="str">
        <f>IF(AIC!B41&gt;0,AIC!B41,"")</f>
        <v>PAYROLL</v>
      </c>
      <c r="B45">
        <f>IF(AIC!C41&gt;0,AIC!C41,"")</f>
        <v>17</v>
      </c>
      <c r="C45">
        <f>IF(AIC!D41&gt;0,AIC!D41,"")</f>
        <v>18</v>
      </c>
      <c r="D45">
        <f>IF(AIC!E41&gt;0,AIC!E41,"")</f>
        <v>15</v>
      </c>
      <c r="E45">
        <f>IF(AIC!F41&gt;0,AIC!F41,"")</f>
        <v>14</v>
      </c>
      <c r="F45">
        <f>IF(AIC!G41&gt;0,AIC!G41,"")</f>
        <v>12</v>
      </c>
    </row>
    <row r="46" spans="1:16" x14ac:dyDescent="0.2">
      <c r="A46" t="str">
        <f>IF(AIC!B45&gt;0,AIC!B45,"")</f>
        <v>CONTRACTOR</v>
      </c>
      <c r="B46" t="str">
        <f>IF(AIC!C45&gt;0,AIC!C45,"")</f>
        <v/>
      </c>
      <c r="C46" t="str">
        <f>IF(AIC!D45&gt;0,AIC!D45,"")</f>
        <v/>
      </c>
      <c r="D46" t="str">
        <f>IF(AIC!E45&gt;0,AIC!E45,"")</f>
        <v/>
      </c>
      <c r="E46" t="str">
        <f>IF(AIC!F45&gt;0,AIC!F45,"")</f>
        <v/>
      </c>
      <c r="F46" t="str">
        <f>IF(AIC!G45&gt;0,AIC!G45,"")</f>
        <v/>
      </c>
    </row>
    <row r="47" spans="1:16" x14ac:dyDescent="0.2">
      <c r="A47" t="str">
        <f>IF(AIC!B49&gt;0,AIC!B49,"")</f>
        <v>OUTSOURCE</v>
      </c>
      <c r="B47" t="str">
        <f>IF(AIC!C49&gt;0,AIC!C49,"")</f>
        <v/>
      </c>
      <c r="C47" t="str">
        <f>IF(AIC!D49&gt;0,AIC!D49,"")</f>
        <v/>
      </c>
      <c r="D47" t="str">
        <f>IF(AIC!E49&gt;0,AIC!E49,"")</f>
        <v/>
      </c>
      <c r="E47" t="str">
        <f>IF(AIC!F49&gt;0,AIC!F49,"")</f>
        <v/>
      </c>
      <c r="F47" t="str">
        <f>IF(AIC!G49&gt;0,AIC!G49,"")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ALL</vt:lpstr>
      <vt:lpstr>GraphAll</vt:lpstr>
      <vt:lpstr>CPS</vt:lpstr>
      <vt:lpstr>GraphCPS</vt:lpstr>
      <vt:lpstr>PSE</vt:lpstr>
      <vt:lpstr>GraphPSE</vt:lpstr>
      <vt:lpstr>SD</vt:lpstr>
      <vt:lpstr>GraphSD</vt:lpstr>
      <vt:lpstr>AIC</vt:lpstr>
      <vt:lpstr>GraphAIC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Warissara T</dc:creator>
  <cp:lastModifiedBy>Warissara T</cp:lastModifiedBy>
  <dcterms:created xsi:type="dcterms:W3CDTF">2026-05-07T15:51:47Z</dcterms:created>
  <dcterms:modified xsi:type="dcterms:W3CDTF">2026-05-11T19:01:22Z</dcterms:modified>
</cp:coreProperties>
</file>