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C33F6567-D1FF-AA48-A45B-03D4B95897F9}" xr6:coauthVersionLast="47" xr6:coauthVersionMax="47" xr10:uidLastSave="{00000000-0000-0000-0000-000000000000}"/>
  <bookViews>
    <workbookView xWindow="0" yWindow="620" windowWidth="28800" windowHeight="16120" activeTab="4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  <sheet name="Project" sheetId="13" r:id="rId13"/>
    <sheet name="GraphPJ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" i="14" l="1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1" i="14"/>
  <c r="F22" i="14"/>
  <c r="F23" i="14"/>
  <c r="F24" i="14"/>
  <c r="F25" i="14"/>
  <c r="F26" i="14"/>
  <c r="A27" i="14"/>
  <c r="B27" i="14"/>
  <c r="B28" i="14"/>
  <c r="C27" i="14"/>
  <c r="C28" i="14"/>
  <c r="D27" i="14"/>
  <c r="D28" i="14"/>
  <c r="E27" i="14"/>
  <c r="E28" i="14"/>
  <c r="F27" i="14"/>
  <c r="F28" i="14"/>
  <c r="F86" i="12"/>
  <c r="E86" i="12"/>
  <c r="D86" i="12"/>
  <c r="C86" i="12"/>
  <c r="B86" i="12"/>
  <c r="A86" i="12"/>
  <c r="F85" i="12"/>
  <c r="E85" i="12"/>
  <c r="D85" i="12"/>
  <c r="C85" i="12"/>
  <c r="B85" i="12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A84" i="12"/>
  <c r="F76" i="12"/>
  <c r="E76" i="12"/>
  <c r="D76" i="12"/>
  <c r="C76" i="12"/>
  <c r="B76" i="12"/>
  <c r="A76" i="12"/>
  <c r="F75" i="12"/>
  <c r="E75" i="12"/>
  <c r="D75" i="12"/>
  <c r="C75" i="12"/>
  <c r="B75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A74" i="12"/>
  <c r="F66" i="12"/>
  <c r="E66" i="12"/>
  <c r="D66" i="12"/>
  <c r="C66" i="12"/>
  <c r="B66" i="12"/>
  <c r="A66" i="12"/>
  <c r="F65" i="12"/>
  <c r="E65" i="12"/>
  <c r="D65" i="12"/>
  <c r="C65" i="12"/>
  <c r="B65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A64" i="12"/>
  <c r="F56" i="12"/>
  <c r="E56" i="12"/>
  <c r="D56" i="12"/>
  <c r="C56" i="12"/>
  <c r="B56" i="12"/>
  <c r="A56" i="12"/>
  <c r="F55" i="12"/>
  <c r="E55" i="12"/>
  <c r="D55" i="12"/>
  <c r="C55" i="12"/>
  <c r="B55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A54" i="12"/>
  <c r="F94" i="10"/>
  <c r="G94" i="10"/>
  <c r="H94" i="10"/>
  <c r="I94" i="10"/>
  <c r="J94" i="10"/>
  <c r="K94" i="10"/>
  <c r="L94" i="10"/>
  <c r="M94" i="10"/>
  <c r="N94" i="10"/>
  <c r="O94" i="10"/>
  <c r="P94" i="10"/>
  <c r="E94" i="10"/>
  <c r="B96" i="10"/>
  <c r="A96" i="10"/>
  <c r="F95" i="10"/>
  <c r="E95" i="10"/>
  <c r="D95" i="10"/>
  <c r="C95" i="10"/>
  <c r="B95" i="10"/>
  <c r="D94" i="10"/>
  <c r="C94" i="10"/>
  <c r="B94" i="10"/>
  <c r="A94" i="10"/>
  <c r="F86" i="10"/>
  <c r="E86" i="10"/>
  <c r="D86" i="10"/>
  <c r="C86" i="10"/>
  <c r="B86" i="10"/>
  <c r="A86" i="10"/>
  <c r="F85" i="10"/>
  <c r="E85" i="10"/>
  <c r="D85" i="10"/>
  <c r="C85" i="10"/>
  <c r="B85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A84" i="10"/>
  <c r="F76" i="10"/>
  <c r="E76" i="10"/>
  <c r="D76" i="10"/>
  <c r="C76" i="10"/>
  <c r="B76" i="10"/>
  <c r="A76" i="10"/>
  <c r="F75" i="10"/>
  <c r="E75" i="10"/>
  <c r="D75" i="10"/>
  <c r="C75" i="10"/>
  <c r="B75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A74" i="10"/>
  <c r="F66" i="10"/>
  <c r="E66" i="10"/>
  <c r="D66" i="10"/>
  <c r="C66" i="10"/>
  <c r="B66" i="10"/>
  <c r="A66" i="10"/>
  <c r="F65" i="10"/>
  <c r="E65" i="10"/>
  <c r="D65" i="10"/>
  <c r="C65" i="10"/>
  <c r="B65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F56" i="10"/>
  <c r="E56" i="10"/>
  <c r="D56" i="10"/>
  <c r="C56" i="10"/>
  <c r="B56" i="10"/>
  <c r="A56" i="10"/>
  <c r="F55" i="10"/>
  <c r="E55" i="10"/>
  <c r="D55" i="10"/>
  <c r="C55" i="10"/>
  <c r="B55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F136" i="8"/>
  <c r="E136" i="8"/>
  <c r="D136" i="8"/>
  <c r="C136" i="8"/>
  <c r="B136" i="8"/>
  <c r="A136" i="8"/>
  <c r="F135" i="8"/>
  <c r="E135" i="8"/>
  <c r="D135" i="8"/>
  <c r="C135" i="8"/>
  <c r="B135" i="8"/>
  <c r="P134" i="8"/>
  <c r="O134" i="8"/>
  <c r="N134" i="8"/>
  <c r="M134" i="8"/>
  <c r="L134" i="8"/>
  <c r="K134" i="8"/>
  <c r="J134" i="8"/>
  <c r="I134" i="8"/>
  <c r="H134" i="8"/>
  <c r="G134" i="8"/>
  <c r="F134" i="8"/>
  <c r="E134" i="8"/>
  <c r="D134" i="8"/>
  <c r="C134" i="8"/>
  <c r="B134" i="8"/>
  <c r="A134" i="8"/>
  <c r="F126" i="8"/>
  <c r="E126" i="8"/>
  <c r="D126" i="8"/>
  <c r="C126" i="8"/>
  <c r="B126" i="8"/>
  <c r="A126" i="8"/>
  <c r="F125" i="8"/>
  <c r="E125" i="8"/>
  <c r="D125" i="8"/>
  <c r="C125" i="8"/>
  <c r="B125" i="8"/>
  <c r="P124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C124" i="8"/>
  <c r="B124" i="8"/>
  <c r="A124" i="8"/>
  <c r="F116" i="8"/>
  <c r="E116" i="8"/>
  <c r="D116" i="8"/>
  <c r="C116" i="8"/>
  <c r="B116" i="8"/>
  <c r="A116" i="8"/>
  <c r="F115" i="8"/>
  <c r="E115" i="8"/>
  <c r="D115" i="8"/>
  <c r="C115" i="8"/>
  <c r="B115" i="8"/>
  <c r="P114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A114" i="8"/>
  <c r="F106" i="8"/>
  <c r="E106" i="8"/>
  <c r="D106" i="8"/>
  <c r="C106" i="8"/>
  <c r="B106" i="8"/>
  <c r="A106" i="8"/>
  <c r="F105" i="8"/>
  <c r="E105" i="8"/>
  <c r="D105" i="8"/>
  <c r="C105" i="8"/>
  <c r="B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A104" i="8"/>
  <c r="F96" i="8"/>
  <c r="E96" i="8"/>
  <c r="D96" i="8"/>
  <c r="C96" i="8"/>
  <c r="B96" i="8"/>
  <c r="A96" i="8"/>
  <c r="F95" i="8"/>
  <c r="E95" i="8"/>
  <c r="D95" i="8"/>
  <c r="C95" i="8"/>
  <c r="B95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A94" i="8"/>
  <c r="F86" i="8"/>
  <c r="E86" i="8"/>
  <c r="D86" i="8"/>
  <c r="C86" i="8"/>
  <c r="B86" i="8"/>
  <c r="A86" i="8"/>
  <c r="F85" i="8"/>
  <c r="E85" i="8"/>
  <c r="D85" i="8"/>
  <c r="C85" i="8"/>
  <c r="B85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A84" i="8"/>
  <c r="F76" i="8"/>
  <c r="E76" i="8"/>
  <c r="D76" i="8"/>
  <c r="C76" i="8"/>
  <c r="B76" i="8"/>
  <c r="A76" i="8"/>
  <c r="F75" i="8"/>
  <c r="E75" i="8"/>
  <c r="D75" i="8"/>
  <c r="C75" i="8"/>
  <c r="B75" i="8"/>
  <c r="P74" i="8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A74" i="8"/>
  <c r="F66" i="8"/>
  <c r="E66" i="8"/>
  <c r="D66" i="8"/>
  <c r="C66" i="8"/>
  <c r="B66" i="8"/>
  <c r="A66" i="8"/>
  <c r="F65" i="8"/>
  <c r="E65" i="8"/>
  <c r="D65" i="8"/>
  <c r="C65" i="8"/>
  <c r="B65" i="8"/>
  <c r="P64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F56" i="8"/>
  <c r="E56" i="8"/>
  <c r="D56" i="8"/>
  <c r="C56" i="8"/>
  <c r="B56" i="8"/>
  <c r="A56" i="8"/>
  <c r="F55" i="8"/>
  <c r="E55" i="8"/>
  <c r="D55" i="8"/>
  <c r="C55" i="8"/>
  <c r="B55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F66" i="6"/>
  <c r="E66" i="6"/>
  <c r="D66" i="6"/>
  <c r="C66" i="6"/>
  <c r="B66" i="6"/>
  <c r="B64" i="6"/>
  <c r="A66" i="6"/>
  <c r="F65" i="6"/>
  <c r="E65" i="6"/>
  <c r="D65" i="6"/>
  <c r="C65" i="6"/>
  <c r="B65" i="6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A64" i="6"/>
  <c r="F56" i="6"/>
  <c r="E56" i="6"/>
  <c r="D56" i="6"/>
  <c r="C56" i="6"/>
  <c r="B56" i="6"/>
  <c r="A56" i="6"/>
  <c r="F55" i="6"/>
  <c r="E55" i="6"/>
  <c r="D55" i="6"/>
  <c r="C55" i="6"/>
  <c r="B55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A54" i="6"/>
  <c r="F66" i="4"/>
  <c r="E66" i="4"/>
  <c r="D66" i="4"/>
  <c r="C66" i="4"/>
  <c r="B66" i="4"/>
  <c r="A66" i="4"/>
  <c r="F65" i="4"/>
  <c r="E65" i="4"/>
  <c r="D65" i="4"/>
  <c r="C65" i="4"/>
  <c r="B65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C55" i="4"/>
  <c r="D55" i="4"/>
  <c r="E55" i="4"/>
  <c r="F55" i="4"/>
  <c r="B55" i="4"/>
  <c r="A56" i="4"/>
  <c r="A54" i="4"/>
  <c r="F56" i="4"/>
  <c r="E56" i="4"/>
  <c r="D56" i="4"/>
  <c r="C56" i="4"/>
  <c r="B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2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B54" i="4" s="1"/>
  <c r="C53" i="4"/>
  <c r="C54" i="4" s="1"/>
  <c r="D53" i="4"/>
  <c r="D54" i="4" s="1"/>
  <c r="E53" i="4"/>
  <c r="E54" i="4" s="1"/>
  <c r="F53" i="4"/>
  <c r="F54" i="4" s="1"/>
  <c r="G53" i="4"/>
  <c r="G54" i="4" s="1"/>
  <c r="H53" i="4"/>
  <c r="H54" i="4" s="1"/>
  <c r="I53" i="4"/>
  <c r="I54" i="4" s="1"/>
  <c r="J53" i="4"/>
  <c r="J54" i="4" s="1"/>
  <c r="K53" i="4"/>
  <c r="K54" i="4" s="1"/>
  <c r="L53" i="4"/>
  <c r="L54" i="4" s="1"/>
  <c r="M53" i="4"/>
  <c r="M54" i="4" s="1"/>
  <c r="N53" i="4"/>
  <c r="N54" i="4" s="1"/>
  <c r="O53" i="4"/>
  <c r="O54" i="4" s="1"/>
  <c r="P53" i="4"/>
  <c r="P54" i="4" s="1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2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<sst xmlns="http://schemas.openxmlformats.org/spreadsheetml/2006/main" count="746" uniqueCount="130">
  <si>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</si>
  <si>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</si>
  <si>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</si>
  <si>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</si>
  <si>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</si>
  <si>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</si>
  <si>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</si>
  <si>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</si>
  <si>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</si>
  <si>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</si>
  <si>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</si>
  <si>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</si>
  <si>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</si>
  <si>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</si>
  <si>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</si>
  <si>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</si>
  <si>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</si>
  <si>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</si>
  <si>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</si>
  <si>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</si>
  <si>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</si>
  <si>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</si>
  <si>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</si>
  <si>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</si>
  <si>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</si>
  <si>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</si>
  <si>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</si>
  <si>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</si>
  <si>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</si>
  <si>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</si>
  <si>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</si>
  <si>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</si>
  <si>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</si>
  <si>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</si>
  <si>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</si>
  <si>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</si>
  <si>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</si>
  <si>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</si>
  <si>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</si>
  <si>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</si>
  <si>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</si>
  <si>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</si>
  <si>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</si>
  <si>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</si>
  <si>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</si>
  <si>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</si>
  <si>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</si>
  <si>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</si>
  <si>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</si>
  <si>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</si>
  <si>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</si>
  <si>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</si>
  <si>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</si>
  <si>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</si>
  <si>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</si>
  <si>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</si>
  <si>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</si>
  <si>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</si>
  <si>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</si>
  <si>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</si>
  <si>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</si>
  <si>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</si>
  <si>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</si>
  <si>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</si>
  <si>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</si>
  <si>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</si>
  <si>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</si>
  <si>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</si>
  <si>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</si>
  <si>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</si>
  <si>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</si>
  <si>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</si>
  <si>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</si>
  <si>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</si>
  <si>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</si>
  <si>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</si>
  <si>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</si>
  <si>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</si>
  <si>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</si>
  <si>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</si>
  <si>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</si>
  <si>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</si>
  <si>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</si>
  <si>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</si>
  <si>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</si>
  <si>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</si>
  <si>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</si>
  <si>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</si>
  <si>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</si>
  <si>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</si>
  <si>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</si>
  <si>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</si>
  <si>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</si>
  <si>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</si>
  <si>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</si>
  <si>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</si>
  <si>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</si>
  <si>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</si>
  <si>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</si>
  <si>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</si>
  <si>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</si>
  <si>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</si>
  <si>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</si>
  <si>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</si>
  <si>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</si>
  <si>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</si>
  <si>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</si>
  <si>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</si>
  <si>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</si>
  <si>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</si>
  <si>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</si>
  <si>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</si>
  <si>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</si>
  <si>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</si>
  <si>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</si>
  <si>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</si>
  <si>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</si>
  <si>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</si>
  <si>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</si>
  <si>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</si>
  <si>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</si>
  <si>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</si>
  <si>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</si>
  <si>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GINII</t>
  </si>
  <si>
    <t>Industrial Solutions</t>
  </si>
  <si>
    <t>RGUARD</t>
  </si>
  <si>
    <t>SARA</t>
  </si>
  <si>
    <t>WeShape</t>
  </si>
  <si>
    <t>FTE</t>
  </si>
  <si>
    <t>Total FTE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</si>
</sst>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theme="5"/>
      <name val="Aptos Narrow"/>
      <family val="2"/>
      <scheme val="minor"/>
    </font>
    <font>
      <sz val="12"/>
      <color rgb="FFC00000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8" fillId="18" borderId="0" xfId="0" applyFont="1" applyFill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topLeftCell="A19" workbookViewId="0">
      <selection activeCell="H49" sqref="H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104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0.29909999999999998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0.70089999999999997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81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17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57"/>
  <sheetViews>
    <sheetView topLeftCell="A131" workbookViewId="0">
      <selection activeCell="A159" sqref="A159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104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81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17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7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88.26</v>
      </c>
      <c r="C152">
        <f>ALL!D6*100</f>
        <v>93.62</v>
      </c>
      <c r="D152">
        <f>ALL!E6*100</f>
        <v>95.59</v>
      </c>
      <c r="E152">
        <f>ALL!F6*100</f>
        <v>94.789999999999992</v>
      </c>
      <c r="F152">
        <f>ALL!G6*100</f>
        <v>97.92</v>
      </c>
      <c r="G152">
        <f>ALL!H6*100</f>
        <v>95.83</v>
      </c>
      <c r="H152">
        <f>ALL!I6*100</f>
        <v>95.91</v>
      </c>
      <c r="I152">
        <f>ALL!J6*100</f>
        <v>93.76</v>
      </c>
      <c r="J152">
        <f>ALL!K6*100</f>
        <v>93.179999999999993</v>
      </c>
      <c r="K152">
        <f>ALL!L6*100</f>
        <v>88.37</v>
      </c>
      <c r="L152">
        <f>ALL!M6*100</f>
        <v>87.41</v>
      </c>
      <c r="M152">
        <f>ALL!N6*100</f>
        <v>86.94</v>
      </c>
      <c r="N152">
        <f>ALL!O6*100</f>
        <v>70.23</v>
      </c>
      <c r="O152">
        <f>ALL!P6*100</f>
        <v>70.02000000000001</v>
      </c>
      <c r="P152">
        <f>ALL!Q6*100</f>
        <v>70.02000000000001</v>
      </c>
    </row>
    <row r="153" spans="1:16" x14ac:dyDescent="0.2">
      <c r="A153" t="str">
        <f>ALL!B7</f>
        <v>Available FTE</v>
      </c>
      <c r="B153">
        <f>ALL!C7</f>
        <v>17</v>
      </c>
      <c r="C153">
        <f>ALL!D7</f>
        <v>10</v>
      </c>
      <c r="D153">
        <f>ALL!E7</f>
        <v>7</v>
      </c>
      <c r="E153">
        <f>ALL!F7</f>
        <v>8</v>
      </c>
      <c r="F153">
        <f>ALL!G7</f>
        <v>3</v>
      </c>
      <c r="G153">
        <f>ALL!H7</f>
        <v>6</v>
      </c>
      <c r="H153">
        <f>ALL!I7</f>
        <v>6</v>
      </c>
      <c r="I153">
        <f>ALL!J7</f>
        <v>9</v>
      </c>
      <c r="J153">
        <f>ALL!K7</f>
        <v>10</v>
      </c>
      <c r="K153">
        <f>ALL!L7</f>
        <v>17</v>
      </c>
      <c r="L153">
        <f>ALL!M7</f>
        <v>19</v>
      </c>
      <c r="M153">
        <f>ALL!N7</f>
        <v>19</v>
      </c>
      <c r="N153">
        <f>ALL!O7</f>
        <v>44</v>
      </c>
      <c r="O153">
        <f>ALL!P7</f>
        <v>45</v>
      </c>
      <c r="P153">
        <f>ALL!Q7</f>
        <v>45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92.5</v>
      </c>
      <c r="C156">
        <f>ALL!D36*100</f>
        <v>96.179999999999993</v>
      </c>
      <c r="D156">
        <f>ALL!E36*100</f>
        <v>94.28</v>
      </c>
      <c r="E156">
        <f>ALL!F36*100</f>
        <v>87.570000000000007</v>
      </c>
      <c r="F156">
        <f>ALL!G36*100</f>
        <v>70.09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6</v>
      </c>
      <c r="D157">
        <f>ALL!E37</f>
        <v>9</v>
      </c>
      <c r="E157">
        <f>ALL!F37</f>
        <v>19</v>
      </c>
      <c r="F157">
        <f>ALL!G37</f>
        <v>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25" activePane="bottomLeft" state="frozen"/>
      <selection pane="bottomLeft"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14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0.16470000000000001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0.83530000000000004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139" workbookViewId="0">
      <selection activeCell="B152" sqref="B152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14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14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59" customFormat="1" x14ac:dyDescent="0.2">
      <c r="A54" s="59" t="str">
        <f>$A$152</f>
        <v>% Plan</v>
      </c>
      <c r="B54" s="59">
        <f>(B53/B52)*100</f>
        <v>93.75</v>
      </c>
      <c r="C54" s="59">
        <f t="shared" ref="C54:P54" si="0">(C53/C52)*100</f>
        <v>94.583333333333329</v>
      </c>
      <c r="D54" s="59">
        <f t="shared" si="0"/>
        <v>92.083333333333343</v>
      </c>
      <c r="E54" s="59">
        <f t="shared" si="0"/>
        <v>103.63636363636364</v>
      </c>
      <c r="F54" s="59">
        <f t="shared" si="0"/>
        <v>104.54545454545455</v>
      </c>
      <c r="G54" s="59">
        <f t="shared" si="0"/>
        <v>103.63636363636364</v>
      </c>
      <c r="H54" s="59">
        <f t="shared" si="0"/>
        <v>92.72727272727272</v>
      </c>
      <c r="I54" s="59">
        <f t="shared" si="0"/>
        <v>90.909090909090907</v>
      </c>
      <c r="J54" s="59">
        <f t="shared" si="0"/>
        <v>90.909090909090907</v>
      </c>
      <c r="K54" s="59">
        <f t="shared" si="0"/>
        <v>90</v>
      </c>
      <c r="L54" s="59">
        <f t="shared" si="0"/>
        <v>88.181818181818173</v>
      </c>
      <c r="M54" s="59">
        <f t="shared" si="0"/>
        <v>88.181818181818173</v>
      </c>
      <c r="N54" s="59">
        <f t="shared" si="0"/>
        <v>74.545454545454533</v>
      </c>
      <c r="O54" s="59">
        <f t="shared" si="0"/>
        <v>74.545454545454533</v>
      </c>
      <c r="P54" s="59">
        <f t="shared" si="0"/>
        <v>74.545454545454533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93.472222222222229</v>
      </c>
      <c r="C56" s="60">
        <f>(AVERAGE(E53:G53)/AVERAGE(E52:G52))*100</f>
        <v>103.93939393939394</v>
      </c>
      <c r="D56" s="60">
        <f>(AVERAGE(H53:J53)/AVERAGE(H52:J52))*100</f>
        <v>91.515151515151516</v>
      </c>
      <c r="E56" s="60">
        <f>(AVERAGE(K53:M53)/AVERAGE(K52:M52))*100</f>
        <v>88.787878787878796</v>
      </c>
      <c r="F56" s="60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59" customFormat="1" x14ac:dyDescent="0.2">
      <c r="A64" s="59" t="str">
        <f>$A$152</f>
        <v>% Plan</v>
      </c>
      <c r="B64" s="59">
        <f>(B63/B62)*100</f>
        <v>92</v>
      </c>
      <c r="C64" s="59">
        <f t="shared" ref="C64" si="2">(C63/C62)*100</f>
        <v>92</v>
      </c>
      <c r="D64" s="59">
        <f t="shared" ref="D64" si="3">(D63/D62)*100</f>
        <v>92</v>
      </c>
      <c r="E64" s="59">
        <f t="shared" ref="E64" si="4">(E63/E62)*100</f>
        <v>100</v>
      </c>
      <c r="F64" s="59">
        <f t="shared" ref="F64" si="5">(F63/F62)*100</f>
        <v>100</v>
      </c>
      <c r="G64" s="59">
        <f t="shared" ref="G64" si="6">(G63/G62)*100</f>
        <v>100</v>
      </c>
      <c r="H64" s="59">
        <f t="shared" ref="H64" si="7">(H63/H62)*100</f>
        <v>100</v>
      </c>
      <c r="I64" s="59">
        <f t="shared" ref="I64" si="8">(I63/I62)*100</f>
        <v>100</v>
      </c>
      <c r="J64" s="59">
        <f t="shared" ref="J64" si="9">(J63/J62)*100</f>
        <v>100</v>
      </c>
      <c r="K64" s="59">
        <f t="shared" ref="K64" si="10">(K63/K62)*100</f>
        <v>100</v>
      </c>
      <c r="L64" s="59">
        <f t="shared" ref="L64" si="11">(L63/L62)*100</f>
        <v>100</v>
      </c>
      <c r="M64" s="59">
        <f t="shared" ref="M64" si="12">(M63/M62)*100</f>
        <v>100</v>
      </c>
      <c r="N64" s="59">
        <f t="shared" ref="N64" si="13">(N63/N62)*100</f>
        <v>100</v>
      </c>
      <c r="O64" s="59">
        <f t="shared" ref="O64" si="14">(O63/O62)*100</f>
        <v>100</v>
      </c>
      <c r="P64" s="59">
        <f t="shared" ref="P64" si="15">(P63/P62)*100</f>
        <v>100</v>
      </c>
    </row>
    <row r="65" spans="1:6" s="60" customFormat="1" x14ac:dyDescent="0.2">
      <c r="B65" s="60" t="str">
        <f>B$155</f>
        <v>Q1</v>
      </c>
      <c r="C65" s="60" t="str">
        <f t="shared" ref="C65:F65" si="16">C$155</f>
        <v>Q2</v>
      </c>
      <c r="D65" s="60" t="str">
        <f t="shared" si="16"/>
        <v>Q3</v>
      </c>
      <c r="E65" s="60" t="str">
        <f t="shared" si="16"/>
        <v>Q4</v>
      </c>
      <c r="F65" s="60" t="str">
        <f t="shared" si="16"/>
        <v>Q1'27</v>
      </c>
    </row>
    <row r="66" spans="1:6" s="60" customFormat="1" x14ac:dyDescent="0.2">
      <c r="A66" s="60" t="str">
        <f>$A$156</f>
        <v>% Plan</v>
      </c>
      <c r="B66" s="60">
        <f>(AVERAGE(B63:D63)/AVERAGE(B62:D62))*100</f>
        <v>92</v>
      </c>
      <c r="C66" s="60">
        <f>(AVERAGE(E63:G63)/AVERAGE(E62:G62))*100</f>
        <v>100</v>
      </c>
      <c r="D66" s="60">
        <f>(AVERAGE(H63:J63)/AVERAGE(H62:J62))*100</f>
        <v>100</v>
      </c>
      <c r="E66" s="60">
        <f>(AVERAGE(K63:M63)/AVERAGE(K62:M62))*100</f>
        <v>100</v>
      </c>
      <c r="F66" s="60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83.53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abSelected="1" topLeftCell="A19" workbookViewId="0">
      <selection activeCell="J48" sqref="J4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47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32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0.34060000000000001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0.65939999999999999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19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13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132" workbookViewId="0">
      <selection activeCell="F156" sqref="F156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47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32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19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13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 t="str">
        <f>IF(PSE!G49&gt;0,PSE!G49,"")</f>
        <v/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59" customFormat="1" x14ac:dyDescent="0.2">
      <c r="A54" s="59" t="str">
        <f>$A$152</f>
        <v>% Plan</v>
      </c>
      <c r="B54" s="59">
        <f>(B53/B52)*100</f>
        <v>100</v>
      </c>
      <c r="C54" s="59">
        <f t="shared" ref="C54:P54" si="0">(C53/C52)*100</f>
        <v>100</v>
      </c>
      <c r="D54" s="59">
        <f t="shared" si="0"/>
        <v>100</v>
      </c>
      <c r="E54" s="59">
        <f t="shared" si="0"/>
        <v>100</v>
      </c>
      <c r="F54" s="59">
        <f t="shared" si="0"/>
        <v>100</v>
      </c>
      <c r="G54" s="59">
        <f t="shared" si="0"/>
        <v>100</v>
      </c>
      <c r="H54" s="59">
        <f t="shared" si="0"/>
        <v>100</v>
      </c>
      <c r="I54" s="59">
        <f t="shared" si="0"/>
        <v>100</v>
      </c>
      <c r="J54" s="59">
        <f t="shared" si="0"/>
        <v>100</v>
      </c>
      <c r="K54" s="59">
        <f t="shared" si="0"/>
        <v>100</v>
      </c>
      <c r="L54" s="59">
        <f t="shared" si="0"/>
        <v>100</v>
      </c>
      <c r="M54" s="59">
        <f t="shared" si="0"/>
        <v>100</v>
      </c>
      <c r="N54" s="59">
        <f t="shared" si="0"/>
        <v>100</v>
      </c>
      <c r="O54" s="59">
        <f t="shared" si="0"/>
        <v>100</v>
      </c>
      <c r="P54" s="59">
        <f t="shared" si="0"/>
        <v>100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100</v>
      </c>
      <c r="C56" s="60">
        <f>(AVERAGE(E53:G53)/AVERAGE(E52:G52))*100</f>
        <v>100</v>
      </c>
      <c r="D56" s="60">
        <f>(AVERAGE(H53:J53)/AVERAGE(H52:J52))*100</f>
        <v>100</v>
      </c>
      <c r="E56" s="60">
        <f>(AVERAGE(K53:M53)/AVERAGE(K52:M52))*100</f>
        <v>100</v>
      </c>
      <c r="F56" s="60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  <row r="64" spans="1:16" s="59" customFormat="1" x14ac:dyDescent="0.2">
      <c r="A64" s="59" t="str">
        <f>$A$152</f>
        <v>% Plan</v>
      </c>
      <c r="B64" s="59">
        <f>(B63/B62)*100</f>
        <v>88.205128205128204</v>
      </c>
      <c r="C64" s="59">
        <f t="shared" ref="C64:P64" si="2">(C63/C62)*100</f>
        <v>93.230769230769226</v>
      </c>
      <c r="D64" s="59">
        <f t="shared" si="2"/>
        <v>98.641025641025635</v>
      </c>
      <c r="E64" s="59">
        <f t="shared" si="2"/>
        <v>93.731707317073159</v>
      </c>
      <c r="F64" s="59">
        <f t="shared" si="2"/>
        <v>97.024390243902431</v>
      </c>
      <c r="G64" s="59">
        <f t="shared" si="2"/>
        <v>90.024390243902431</v>
      </c>
      <c r="H64" s="59">
        <f t="shared" si="2"/>
        <v>92.951219512195109</v>
      </c>
      <c r="I64" s="59">
        <f t="shared" si="2"/>
        <v>91.609756097560975</v>
      </c>
      <c r="J64" s="59">
        <f t="shared" si="2"/>
        <v>92.829268292682926</v>
      </c>
      <c r="K64" s="59">
        <f t="shared" si="2"/>
        <v>84.609756097560975</v>
      </c>
      <c r="L64" s="59">
        <f t="shared" si="2"/>
        <v>82.926829268292678</v>
      </c>
      <c r="M64" s="59">
        <f t="shared" si="2"/>
        <v>82.926829268292678</v>
      </c>
      <c r="N64" s="59">
        <f t="shared" si="2"/>
        <v>60.121951219512191</v>
      </c>
      <c r="O64" s="59">
        <f t="shared" si="2"/>
        <v>60.121951219512191</v>
      </c>
      <c r="P64" s="59">
        <f t="shared" si="2"/>
        <v>60.121951219512191</v>
      </c>
    </row>
    <row r="65" spans="1: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6" s="60" customFormat="1" x14ac:dyDescent="0.2">
      <c r="A66" s="60" t="str">
        <f>$A$156</f>
        <v>% Plan</v>
      </c>
      <c r="B66" s="60">
        <f>(AVERAGE(B63:D63)/AVERAGE(B62:D62))*100</f>
        <v>93.358974358974351</v>
      </c>
      <c r="C66" s="60">
        <f>(AVERAGE(E63:G63)/AVERAGE(E62:G62))*100</f>
        <v>93.593495934959364</v>
      </c>
      <c r="D66" s="60">
        <f>(AVERAGE(H63:J63)/AVERAGE(H62:J62))*100</f>
        <v>92.463414634146346</v>
      </c>
      <c r="E66" s="60">
        <f>(AVERAGE(K63:M63)/AVERAGE(K62:M62))*100</f>
        <v>83.487804878048777</v>
      </c>
      <c r="F66" s="60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91.47999999999999</v>
      </c>
      <c r="H152">
        <f>PSE!I6*100</f>
        <v>93.97999999999999</v>
      </c>
      <c r="I152">
        <f>PSE!J6*100</f>
        <v>92.83</v>
      </c>
      <c r="J152">
        <f>PSE!K6*100</f>
        <v>93.88</v>
      </c>
      <c r="K152">
        <f>PSE!L6*100</f>
        <v>86.850000000000009</v>
      </c>
      <c r="L152">
        <f>PSE!M6*100</f>
        <v>85.42</v>
      </c>
      <c r="M152">
        <f>PSE!N6*100</f>
        <v>85.42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94.53</v>
      </c>
      <c r="D156">
        <f>PSE!E36*100</f>
        <v>93.56</v>
      </c>
      <c r="E156">
        <f>PSE!F36*100</f>
        <v>85.9</v>
      </c>
      <c r="F156">
        <f>PSE!G36*100</f>
        <v>65.94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7</v>
      </c>
      <c r="F157">
        <f>PSE!G37</f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opLeftCell="A29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32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0.3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0.7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23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21">
        <v>7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27" activePane="bottomLeft" state="frozen"/>
      <selection pane="bottomLeft" activeCell="A51" sqref="A51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32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23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7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59" customFormat="1" x14ac:dyDescent="0.2">
      <c r="A54" s="59" t="str">
        <f>$A$152</f>
        <v>% Plan</v>
      </c>
      <c r="B54" s="59">
        <f>(B53/B52)*100</f>
        <v>76.5625</v>
      </c>
      <c r="C54" s="59">
        <f t="shared" ref="C54:P54" si="0">(C53/C52)*100</f>
        <v>96.25</v>
      </c>
      <c r="D54" s="59">
        <f t="shared" si="0"/>
        <v>91.25</v>
      </c>
      <c r="E54" s="59">
        <f t="shared" si="0"/>
        <v>82.5</v>
      </c>
      <c r="F54" s="59">
        <f t="shared" si="0"/>
        <v>100.62500000000001</v>
      </c>
      <c r="G54" s="59">
        <f t="shared" si="0"/>
        <v>100.62500000000001</v>
      </c>
      <c r="H54" s="59">
        <f t="shared" si="0"/>
        <v>99.53125</v>
      </c>
      <c r="I54" s="59">
        <f t="shared" si="0"/>
        <v>82.34375</v>
      </c>
      <c r="J54" s="59">
        <f t="shared" si="0"/>
        <v>73.28125</v>
      </c>
      <c r="K54" s="59">
        <f t="shared" si="0"/>
        <v>67.8125</v>
      </c>
      <c r="L54" s="59">
        <f t="shared" si="0"/>
        <v>64.6875</v>
      </c>
      <c r="M54" s="59">
        <f t="shared" si="0"/>
        <v>59.687500000000007</v>
      </c>
      <c r="N54" s="59">
        <f t="shared" si="0"/>
        <v>32.03125</v>
      </c>
      <c r="O54" s="59">
        <f t="shared" si="0"/>
        <v>25.78125</v>
      </c>
      <c r="P54" s="59">
        <f t="shared" si="0"/>
        <v>25.78125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88.020833333333343</v>
      </c>
      <c r="C56" s="60">
        <f>(AVERAGE(E53:G53)/AVERAGE(E52:G52))*100</f>
        <v>94.583333333333343</v>
      </c>
      <c r="D56" s="60">
        <f>(AVERAGE(H53:J53)/AVERAGE(H52:J52))*100</f>
        <v>85.052083333333343</v>
      </c>
      <c r="E56" s="60">
        <f>(AVERAGE(K53:M53)/AVERAGE(K52:M52))*100</f>
        <v>64.0625</v>
      </c>
      <c r="F56" s="60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59" customFormat="1" x14ac:dyDescent="0.2">
      <c r="A64" s="59" t="str">
        <f>$A$152</f>
        <v>% Plan</v>
      </c>
      <c r="B64" s="59">
        <f>(B63/B62)*100</f>
        <v>101.07142857142857</v>
      </c>
      <c r="C64" s="59">
        <f t="shared" ref="C64:P64" si="2">(C63/C62)*100</f>
        <v>103.21428571428571</v>
      </c>
      <c r="D64" s="59">
        <f t="shared" si="2"/>
        <v>98.071428571428569</v>
      </c>
      <c r="E64" s="59">
        <f t="shared" si="2"/>
        <v>87.428571428571431</v>
      </c>
      <c r="F64" s="59">
        <f t="shared" si="2"/>
        <v>81.535714285714278</v>
      </c>
      <c r="G64" s="59">
        <f t="shared" si="2"/>
        <v>91.607142857142847</v>
      </c>
      <c r="H64" s="59">
        <f t="shared" si="2"/>
        <v>83.75</v>
      </c>
      <c r="I64" s="59">
        <f t="shared" si="2"/>
        <v>80.464285714285722</v>
      </c>
      <c r="J64" s="59">
        <f t="shared" si="2"/>
        <v>80.464285714285722</v>
      </c>
      <c r="K64" s="59">
        <f t="shared" si="2"/>
        <v>75.642857142857139</v>
      </c>
      <c r="L64" s="59">
        <f t="shared" si="2"/>
        <v>73.5</v>
      </c>
      <c r="M64" s="59">
        <f t="shared" si="2"/>
        <v>73.5</v>
      </c>
      <c r="N64" s="59">
        <f t="shared" si="2"/>
        <v>61.642857142857146</v>
      </c>
      <c r="O64" s="59">
        <f t="shared" si="2"/>
        <v>61.642857142857146</v>
      </c>
      <c r="P64" s="59">
        <f t="shared" si="2"/>
        <v>61.642857142857146</v>
      </c>
    </row>
    <row r="65" spans="1:1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16" s="60" customFormat="1" x14ac:dyDescent="0.2">
      <c r="A66" s="60" t="str">
        <f>$A$156</f>
        <v>% Plan</v>
      </c>
      <c r="B66" s="60">
        <f>(AVERAGE(B63:D63)/AVERAGE(B62:D62))*100</f>
        <v>100.78571428571428</v>
      </c>
      <c r="C66" s="60">
        <f>(AVERAGE(E63:G63)/AVERAGE(E62:G62))*100</f>
        <v>86.857142857142861</v>
      </c>
      <c r="D66" s="60">
        <f>(AVERAGE(H63:J63)/AVERAGE(H62:J62))*100</f>
        <v>81.55952380952381</v>
      </c>
      <c r="E66" s="60">
        <f>(AVERAGE(K63:M63)/AVERAGE(K62:M62))*100</f>
        <v>74.214285714285708</v>
      </c>
      <c r="F66" s="60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74" spans="1:16" s="59" customFormat="1" x14ac:dyDescent="0.2">
      <c r="A74" s="59" t="str">
        <f>$A$152</f>
        <v>% Plan</v>
      </c>
      <c r="B74" s="59">
        <f>(B73/B72)*100</f>
        <v>82.5</v>
      </c>
      <c r="C74" s="59">
        <f t="shared" ref="C74:P74" si="4">(C73/C72)*100</f>
        <v>109.375</v>
      </c>
      <c r="D74" s="59">
        <f t="shared" si="4"/>
        <v>108.125</v>
      </c>
      <c r="E74" s="59">
        <f t="shared" si="4"/>
        <v>97.5</v>
      </c>
      <c r="F74" s="59">
        <f t="shared" si="4"/>
        <v>87.875</v>
      </c>
      <c r="G74" s="59">
        <f t="shared" si="4"/>
        <v>86.625</v>
      </c>
      <c r="H74" s="59">
        <f t="shared" si="4"/>
        <v>84.125</v>
      </c>
      <c r="I74" s="59">
        <f t="shared" si="4"/>
        <v>86</v>
      </c>
      <c r="J74" s="59">
        <f t="shared" si="4"/>
        <v>78</v>
      </c>
      <c r="K74" s="59">
        <f t="shared" si="4"/>
        <v>78</v>
      </c>
      <c r="L74" s="59">
        <f t="shared" si="4"/>
        <v>78</v>
      </c>
      <c r="M74" s="59">
        <f t="shared" si="4"/>
        <v>76.125</v>
      </c>
      <c r="N74" s="59">
        <f t="shared" si="4"/>
        <v>69.5</v>
      </c>
      <c r="O74" s="59">
        <f t="shared" si="4"/>
        <v>69.5</v>
      </c>
      <c r="P74" s="59">
        <f t="shared" si="4"/>
        <v>69.5</v>
      </c>
    </row>
    <row r="75" spans="1:16" s="60" customFormat="1" x14ac:dyDescent="0.2">
      <c r="B75" s="60" t="str">
        <f>B$155</f>
        <v>Q1</v>
      </c>
      <c r="C75" s="60" t="str">
        <f t="shared" ref="C75:F75" si="5">C$155</f>
        <v>Q2</v>
      </c>
      <c r="D75" s="60" t="str">
        <f t="shared" si="5"/>
        <v>Q3</v>
      </c>
      <c r="E75" s="60" t="str">
        <f t="shared" si="5"/>
        <v>Q4</v>
      </c>
      <c r="F75" s="60" t="str">
        <f t="shared" si="5"/>
        <v>Q1'27</v>
      </c>
    </row>
    <row r="76" spans="1:16" s="60" customFormat="1" x14ac:dyDescent="0.2">
      <c r="A76" s="60" t="str">
        <f>$A$156</f>
        <v>% Plan</v>
      </c>
      <c r="B76" s="60">
        <f>(AVERAGE(B73:D73)/AVERAGE(B72:D72))*100</f>
        <v>100</v>
      </c>
      <c r="C76" s="60">
        <f>(AVERAGE(E73:G73)/AVERAGE(E72:G72))*100</f>
        <v>90.666666666666657</v>
      </c>
      <c r="D76" s="60">
        <f>(AVERAGE(H73:J73)/AVERAGE(H72:J72))*100</f>
        <v>82.708333333333343</v>
      </c>
      <c r="E76" s="60">
        <f>(AVERAGE(K73:M73)/AVERAGE(K72:M72))*100</f>
        <v>77.375</v>
      </c>
      <c r="F76" s="60">
        <f>(AVERAGE(N73:P73)/AVERAGE(N72:P72))*100</f>
        <v>69.5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59" customFormat="1" x14ac:dyDescent="0.2">
      <c r="A84" s="59" t="str">
        <f>$A$152</f>
        <v>% Plan</v>
      </c>
      <c r="B84" s="59">
        <f>(B83/B82)*100</f>
        <v>169.25</v>
      </c>
      <c r="C84" s="59">
        <f t="shared" ref="C84:P84" si="6">(C83/C82)*100</f>
        <v>153.75</v>
      </c>
      <c r="D84" s="59">
        <f t="shared" si="6"/>
        <v>211</v>
      </c>
      <c r="E84" s="59">
        <f t="shared" si="6"/>
        <v>132.75</v>
      </c>
      <c r="F84" s="59">
        <f t="shared" si="6"/>
        <v>134.25</v>
      </c>
      <c r="G84" s="59">
        <f t="shared" si="6"/>
        <v>123.25</v>
      </c>
      <c r="H84" s="59">
        <f t="shared" si="6"/>
        <v>115.75</v>
      </c>
      <c r="I84" s="59">
        <f t="shared" si="6"/>
        <v>113.25</v>
      </c>
      <c r="J84" s="59">
        <f t="shared" si="6"/>
        <v>105.75000000000001</v>
      </c>
      <c r="K84" s="59">
        <f t="shared" si="6"/>
        <v>113.25</v>
      </c>
      <c r="L84" s="59">
        <f t="shared" si="6"/>
        <v>103.25</v>
      </c>
      <c r="M84" s="59">
        <f t="shared" si="6"/>
        <v>103.25</v>
      </c>
      <c r="N84" s="59">
        <f t="shared" si="6"/>
        <v>75.25</v>
      </c>
      <c r="O84" s="59">
        <f t="shared" si="6"/>
        <v>72.75</v>
      </c>
      <c r="P84" s="59">
        <f t="shared" si="6"/>
        <v>72.75</v>
      </c>
    </row>
    <row r="85" spans="1:16" s="60" customFormat="1" x14ac:dyDescent="0.2">
      <c r="B85" s="60" t="str">
        <f>B$155</f>
        <v>Q1</v>
      </c>
      <c r="C85" s="60" t="str">
        <f t="shared" ref="C85:F85" si="7">C$155</f>
        <v>Q2</v>
      </c>
      <c r="D85" s="60" t="str">
        <f t="shared" si="7"/>
        <v>Q3</v>
      </c>
      <c r="E85" s="60" t="str">
        <f t="shared" si="7"/>
        <v>Q4</v>
      </c>
      <c r="F85" s="60" t="str">
        <f t="shared" si="7"/>
        <v>Q1'27</v>
      </c>
    </row>
    <row r="86" spans="1:16" s="60" customFormat="1" x14ac:dyDescent="0.2">
      <c r="A86" s="60" t="str">
        <f>$A$156</f>
        <v>% Plan</v>
      </c>
      <c r="B86" s="60">
        <f>(AVERAGE(B83:D83)/AVERAGE(B82:D82))*100</f>
        <v>178</v>
      </c>
      <c r="C86" s="60">
        <f>(AVERAGE(E83:G83)/AVERAGE(E82:G82))*100</f>
        <v>130.08333333333331</v>
      </c>
      <c r="D86" s="60">
        <f>(AVERAGE(H83:J83)/AVERAGE(H82:J82))*100</f>
        <v>111.58333333333334</v>
      </c>
      <c r="E86" s="60">
        <f>(AVERAGE(K83:M83)/AVERAGE(K82:M82))*100</f>
        <v>106.58333333333331</v>
      </c>
      <c r="F86" s="60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59" customFormat="1" x14ac:dyDescent="0.2">
      <c r="A94" s="59" t="str">
        <f>$A$152</f>
        <v>% Plan</v>
      </c>
      <c r="B94" s="59">
        <f>(B93/B92)*100</f>
        <v>109.16666666666666</v>
      </c>
      <c r="C94" s="59">
        <f t="shared" ref="C94:P94" si="8">(C93/C92)*100</f>
        <v>109.16666666666666</v>
      </c>
      <c r="D94" s="59">
        <f t="shared" si="8"/>
        <v>107.5</v>
      </c>
      <c r="E94" s="59">
        <f t="shared" si="8"/>
        <v>95.833333333333343</v>
      </c>
      <c r="F94" s="59">
        <f t="shared" si="8"/>
        <v>103.74999999999999</v>
      </c>
      <c r="G94" s="59">
        <f t="shared" si="8"/>
        <v>95.416666666666657</v>
      </c>
      <c r="H94" s="59">
        <f t="shared" si="8"/>
        <v>86.666666666666671</v>
      </c>
      <c r="I94" s="59">
        <f t="shared" si="8"/>
        <v>86.666666666666671</v>
      </c>
      <c r="J94" s="59">
        <f t="shared" si="8"/>
        <v>86.666666666666671</v>
      </c>
      <c r="K94" s="59">
        <f t="shared" si="8"/>
        <v>86.666666666666671</v>
      </c>
      <c r="L94" s="59">
        <f t="shared" si="8"/>
        <v>86.666666666666671</v>
      </c>
      <c r="M94" s="59">
        <f t="shared" si="8"/>
        <v>86.666666666666671</v>
      </c>
      <c r="N94" s="59">
        <f t="shared" si="8"/>
        <v>83.333333333333343</v>
      </c>
      <c r="O94" s="59">
        <f t="shared" si="8"/>
        <v>83.333333333333343</v>
      </c>
      <c r="P94" s="59">
        <f t="shared" si="8"/>
        <v>83.333333333333343</v>
      </c>
    </row>
    <row r="95" spans="1:16" s="60" customFormat="1" x14ac:dyDescent="0.2">
      <c r="B95" s="60" t="str">
        <f>B$155</f>
        <v>Q1</v>
      </c>
      <c r="C95" s="60" t="str">
        <f t="shared" ref="C95:F95" si="9">C$155</f>
        <v>Q2</v>
      </c>
      <c r="D95" s="60" t="str">
        <f t="shared" si="9"/>
        <v>Q3</v>
      </c>
      <c r="E95" s="60" t="str">
        <f t="shared" si="9"/>
        <v>Q4</v>
      </c>
      <c r="F95" s="60" t="str">
        <f t="shared" si="9"/>
        <v>Q1'27</v>
      </c>
    </row>
    <row r="96" spans="1:16" s="60" customFormat="1" x14ac:dyDescent="0.2">
      <c r="A96" s="60" t="str">
        <f>$A$156</f>
        <v>% Plan</v>
      </c>
      <c r="B96" s="60">
        <f>(AVERAGE(B93:D93)/AVERAGE(B92:D92))*100</f>
        <v>108.6111111111111</v>
      </c>
      <c r="C96" s="60">
        <f>(AVERAGE(E93:G93)/AVERAGE(E92:G92))*100</f>
        <v>98.333333333333329</v>
      </c>
      <c r="D96" s="60">
        <f>(AVERAGE(H93:J93)/AVERAGE(H92:J92))*100</f>
        <v>86.666666666666671</v>
      </c>
      <c r="E96" s="60">
        <f>(AVERAGE(K93:M93)/AVERAGE(K92:M92))*100</f>
        <v>86.666666666666671</v>
      </c>
      <c r="F96" s="60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04" spans="1:16" s="59" customFormat="1" x14ac:dyDescent="0.2">
      <c r="A104" s="59" t="str">
        <f>$A$152</f>
        <v>% Plan</v>
      </c>
      <c r="B104" s="59">
        <f>(B103/B102)*100</f>
        <v>91.25</v>
      </c>
      <c r="C104" s="59">
        <f t="shared" ref="C104:P104" si="10">(C103/C102)*100</f>
        <v>93.75</v>
      </c>
      <c r="D104" s="59">
        <f t="shared" si="10"/>
        <v>100</v>
      </c>
      <c r="E104" s="59">
        <f t="shared" si="10"/>
        <v>96.25</v>
      </c>
      <c r="F104" s="59">
        <f t="shared" si="10"/>
        <v>104</v>
      </c>
      <c r="G104" s="59">
        <f t="shared" si="10"/>
        <v>101.49999999999999</v>
      </c>
      <c r="H104" s="59">
        <f t="shared" si="10"/>
        <v>106.87500000000001</v>
      </c>
      <c r="I104" s="59">
        <f t="shared" si="10"/>
        <v>103.8</v>
      </c>
      <c r="J104" s="59">
        <f t="shared" si="10"/>
        <v>98.174999999999997</v>
      </c>
      <c r="K104" s="59">
        <f t="shared" si="10"/>
        <v>93.174999999999997</v>
      </c>
      <c r="L104" s="59">
        <f t="shared" si="10"/>
        <v>87.125</v>
      </c>
      <c r="M104" s="59">
        <f t="shared" si="10"/>
        <v>67.75</v>
      </c>
      <c r="N104" s="59">
        <f t="shared" si="10"/>
        <v>25</v>
      </c>
      <c r="O104" s="59">
        <f t="shared" si="10"/>
        <v>25</v>
      </c>
      <c r="P104" s="59">
        <f t="shared" si="10"/>
        <v>25</v>
      </c>
    </row>
    <row r="105" spans="1:16" s="60" customFormat="1" x14ac:dyDescent="0.2">
      <c r="B105" s="60" t="str">
        <f>B$155</f>
        <v>Q1</v>
      </c>
      <c r="C105" s="60" t="str">
        <f t="shared" ref="C105:F105" si="11">C$155</f>
        <v>Q2</v>
      </c>
      <c r="D105" s="60" t="str">
        <f t="shared" si="11"/>
        <v>Q3</v>
      </c>
      <c r="E105" s="60" t="str">
        <f t="shared" si="11"/>
        <v>Q4</v>
      </c>
      <c r="F105" s="60" t="str">
        <f t="shared" si="11"/>
        <v>Q1'27</v>
      </c>
    </row>
    <row r="106" spans="1:16" s="60" customFormat="1" x14ac:dyDescent="0.2">
      <c r="A106" s="60" t="str">
        <f>$A$156</f>
        <v>% Plan</v>
      </c>
      <c r="B106" s="60">
        <f>(AVERAGE(B103:D103)/AVERAGE(B102:D102))*100</f>
        <v>95</v>
      </c>
      <c r="C106" s="60">
        <f>(AVERAGE(E103:G103)/AVERAGE(E102:G102))*100</f>
        <v>100.58333333333334</v>
      </c>
      <c r="D106" s="60">
        <f>(AVERAGE(H103:J103)/AVERAGE(H102:J102))*100</f>
        <v>102.94999999999999</v>
      </c>
      <c r="E106" s="60">
        <f>(AVERAGE(K103:M103)/AVERAGE(K102:M102))*100</f>
        <v>82.683333333333337</v>
      </c>
      <c r="F106" s="60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14" spans="1:16" s="59" customFormat="1" x14ac:dyDescent="0.2">
      <c r="A114" s="59" t="str">
        <f>$A$152</f>
        <v>% Plan</v>
      </c>
      <c r="B114" s="59">
        <f>(B113/B112)*100</f>
        <v>94</v>
      </c>
      <c r="C114" s="59">
        <f t="shared" ref="C114:P114" si="12">(C113/C112)*100</f>
        <v>101</v>
      </c>
      <c r="D114" s="59">
        <f t="shared" si="12"/>
        <v>101</v>
      </c>
      <c r="E114" s="59">
        <f t="shared" si="12"/>
        <v>105.60000000000001</v>
      </c>
      <c r="F114" s="59">
        <f t="shared" si="12"/>
        <v>119.8</v>
      </c>
      <c r="G114" s="59">
        <f t="shared" si="12"/>
        <v>109.80000000000001</v>
      </c>
      <c r="H114" s="59">
        <f t="shared" si="12"/>
        <v>103</v>
      </c>
      <c r="I114" s="59">
        <f t="shared" si="12"/>
        <v>94</v>
      </c>
      <c r="J114" s="59">
        <f t="shared" si="12"/>
        <v>90</v>
      </c>
      <c r="K114" s="59">
        <f t="shared" si="12"/>
        <v>90</v>
      </c>
      <c r="L114" s="59">
        <f t="shared" si="12"/>
        <v>90</v>
      </c>
      <c r="M114" s="59">
        <f t="shared" si="12"/>
        <v>90</v>
      </c>
      <c r="N114" s="59">
        <f t="shared" si="12"/>
        <v>64.400000000000006</v>
      </c>
      <c r="O114" s="59">
        <f t="shared" si="12"/>
        <v>64.400000000000006</v>
      </c>
      <c r="P114" s="59">
        <f t="shared" si="12"/>
        <v>64.400000000000006</v>
      </c>
    </row>
    <row r="115" spans="1:16" s="60" customFormat="1" x14ac:dyDescent="0.2">
      <c r="B115" s="60" t="str">
        <f>B$155</f>
        <v>Q1</v>
      </c>
      <c r="C115" s="60" t="str">
        <f t="shared" ref="C115:F115" si="13">C$155</f>
        <v>Q2</v>
      </c>
      <c r="D115" s="60" t="str">
        <f t="shared" si="13"/>
        <v>Q3</v>
      </c>
      <c r="E115" s="60" t="str">
        <f t="shared" si="13"/>
        <v>Q4</v>
      </c>
      <c r="F115" s="60" t="str">
        <f t="shared" si="13"/>
        <v>Q1'27</v>
      </c>
    </row>
    <row r="116" spans="1:16" s="60" customFormat="1" x14ac:dyDescent="0.2">
      <c r="A116" s="60" t="str">
        <f>$A$156</f>
        <v>% Plan</v>
      </c>
      <c r="B116" s="60">
        <f>(AVERAGE(B113:D113)/AVERAGE(B112:D112))*100</f>
        <v>98.666666666666671</v>
      </c>
      <c r="C116" s="60">
        <f>(AVERAGE(E113:G113)/AVERAGE(E112:G112))*100</f>
        <v>111.73333333333333</v>
      </c>
      <c r="D116" s="60">
        <f>(AVERAGE(H113:J113)/AVERAGE(H112:J112))*100</f>
        <v>95.666666666666671</v>
      </c>
      <c r="E116" s="60">
        <f>(AVERAGE(K113:M113)/AVERAGE(K112:M112))*100</f>
        <v>90</v>
      </c>
      <c r="F116" s="60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59" customFormat="1" x14ac:dyDescent="0.2">
      <c r="A124" s="59" t="str">
        <f>$A$152</f>
        <v>% Plan</v>
      </c>
      <c r="B124" s="59">
        <f>(B123/B122)*100</f>
        <v>88.1111111111111</v>
      </c>
      <c r="C124" s="59">
        <f t="shared" ref="C124:P124" si="14">(C123/C122)*100</f>
        <v>102.72727272727273</v>
      </c>
      <c r="D124" s="59">
        <f t="shared" si="14"/>
        <v>104.25</v>
      </c>
      <c r="E124" s="59">
        <f t="shared" si="14"/>
        <v>97.375</v>
      </c>
      <c r="F124" s="59">
        <f t="shared" si="14"/>
        <v>107.83333333333334</v>
      </c>
      <c r="G124" s="59">
        <f t="shared" si="14"/>
        <v>112.16666666666669</v>
      </c>
      <c r="H124" s="59">
        <f t="shared" si="14"/>
        <v>128.33333333333334</v>
      </c>
      <c r="I124" s="59">
        <f t="shared" si="14"/>
        <v>127.08333333333333</v>
      </c>
      <c r="J124" s="59">
        <f t="shared" si="14"/>
        <v>131.25</v>
      </c>
      <c r="K124" s="59">
        <f t="shared" si="14"/>
        <v>112.08333333333333</v>
      </c>
      <c r="L124" s="59">
        <f t="shared" si="14"/>
        <v>109.99999999999999</v>
      </c>
      <c r="M124" s="59">
        <f t="shared" si="14"/>
        <v>107.08333333333333</v>
      </c>
      <c r="N124" s="59">
        <f t="shared" si="14"/>
        <v>80</v>
      </c>
      <c r="O124" s="59">
        <f t="shared" si="14"/>
        <v>80</v>
      </c>
      <c r="P124" s="59">
        <f t="shared" si="14"/>
        <v>80</v>
      </c>
    </row>
    <row r="125" spans="1:16" s="60" customFormat="1" x14ac:dyDescent="0.2">
      <c r="B125" s="60" t="str">
        <f>B$155</f>
        <v>Q1</v>
      </c>
      <c r="C125" s="60" t="str">
        <f t="shared" ref="C125:F125" si="15">C$155</f>
        <v>Q2</v>
      </c>
      <c r="D125" s="60" t="str">
        <f t="shared" si="15"/>
        <v>Q3</v>
      </c>
      <c r="E125" s="60" t="str">
        <f t="shared" si="15"/>
        <v>Q4</v>
      </c>
      <c r="F125" s="60" t="str">
        <f t="shared" si="15"/>
        <v>Q1'27</v>
      </c>
    </row>
    <row r="126" spans="1:16" s="60" customFormat="1" x14ac:dyDescent="0.2">
      <c r="A126" s="60" t="str">
        <f>$A$156</f>
        <v>% Plan</v>
      </c>
      <c r="B126" s="60">
        <f>(AVERAGE(B123:D123)/AVERAGE(B122:D122))*100</f>
        <v>99.1875</v>
      </c>
      <c r="C126" s="60">
        <f>(AVERAGE(E123:G123)/AVERAGE(E122:G122))*100</f>
        <v>105.79166666666666</v>
      </c>
      <c r="D126" s="60">
        <f>(AVERAGE(H123:J123)/AVERAGE(H122:J122))*100</f>
        <v>128.88888888888889</v>
      </c>
      <c r="E126" s="60">
        <f>(AVERAGE(K123:M123)/AVERAGE(K122:M122))*100</f>
        <v>109.72222222222221</v>
      </c>
      <c r="F126" s="60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59" customFormat="1" x14ac:dyDescent="0.2">
      <c r="A134" s="59" t="str">
        <f>$A$152</f>
        <v>% Plan</v>
      </c>
      <c r="B134" s="59">
        <f>(B133/B132)*100</f>
        <v>77</v>
      </c>
      <c r="C134" s="59">
        <f t="shared" ref="C134:P134" si="16">(C133/C132)*100</f>
        <v>73.5</v>
      </c>
      <c r="D134" s="59">
        <f t="shared" si="16"/>
        <v>74.75</v>
      </c>
      <c r="E134" s="59">
        <f t="shared" si="16"/>
        <v>76.75</v>
      </c>
      <c r="F134" s="59">
        <f t="shared" si="16"/>
        <v>76.75</v>
      </c>
      <c r="G134" s="59">
        <f t="shared" si="16"/>
        <v>80.75</v>
      </c>
      <c r="H134" s="59">
        <f t="shared" si="16"/>
        <v>95.75</v>
      </c>
      <c r="I134" s="59">
        <f t="shared" si="16"/>
        <v>95.75</v>
      </c>
      <c r="J134" s="59">
        <f t="shared" si="16"/>
        <v>95.75</v>
      </c>
      <c r="K134" s="59">
        <f t="shared" si="16"/>
        <v>95.75</v>
      </c>
      <c r="L134" s="59">
        <f t="shared" si="16"/>
        <v>105</v>
      </c>
      <c r="M134" s="59">
        <f t="shared" si="16"/>
        <v>130</v>
      </c>
      <c r="N134" s="59">
        <f t="shared" si="16"/>
        <v>130</v>
      </c>
      <c r="O134" s="59">
        <f t="shared" si="16"/>
        <v>130</v>
      </c>
      <c r="P134" s="59">
        <f t="shared" si="16"/>
        <v>130</v>
      </c>
    </row>
    <row r="135" spans="1:16" s="60" customFormat="1" x14ac:dyDescent="0.2">
      <c r="B135" s="60" t="str">
        <f>B$155</f>
        <v>Q1</v>
      </c>
      <c r="C135" s="60" t="str">
        <f t="shared" ref="C135:F135" si="17">C$155</f>
        <v>Q2</v>
      </c>
      <c r="D135" s="60" t="str">
        <f t="shared" si="17"/>
        <v>Q3</v>
      </c>
      <c r="E135" s="60" t="str">
        <f t="shared" si="17"/>
        <v>Q4</v>
      </c>
      <c r="F135" s="60" t="str">
        <f t="shared" si="17"/>
        <v>Q1'27</v>
      </c>
    </row>
    <row r="136" spans="1:16" s="60" customFormat="1" x14ac:dyDescent="0.2">
      <c r="A136" s="60" t="str">
        <f>$A$156</f>
        <v>% Plan</v>
      </c>
      <c r="B136" s="60">
        <f>(AVERAGE(B133:D133)/AVERAGE(B132:D132))*100</f>
        <v>75.083333333333329</v>
      </c>
      <c r="C136" s="60">
        <f>(AVERAGE(E133:G133)/AVERAGE(E132:G132))*100</f>
        <v>78.083333333333329</v>
      </c>
      <c r="D136" s="60">
        <f>(AVERAGE(H133:J133)/AVERAGE(H132:J132))*100</f>
        <v>95.75</v>
      </c>
      <c r="E136" s="60">
        <f>(AVERAGE(K133:M133)/AVERAGE(K132:M132))*100</f>
        <v>110.25</v>
      </c>
      <c r="F136" s="60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94.089999999999989</v>
      </c>
      <c r="C152">
        <f>SD!D6*100</f>
        <v>101.86999999999999</v>
      </c>
      <c r="D152">
        <f>SD!E6*100</f>
        <v>103.99000000000001</v>
      </c>
      <c r="E152">
        <f>SD!F6*100</f>
        <v>95.08</v>
      </c>
      <c r="F152">
        <f>SD!G6*100</f>
        <v>100.44999999999999</v>
      </c>
      <c r="G152">
        <f>SD!H6*100</f>
        <v>101.02</v>
      </c>
      <c r="H152">
        <f>SD!I6*100</f>
        <v>103.86999999999999</v>
      </c>
      <c r="I152">
        <f>SD!J6*100</f>
        <v>100.35000000000001</v>
      </c>
      <c r="J152">
        <f>SD!K6*100</f>
        <v>98.71</v>
      </c>
      <c r="K152">
        <f>SD!L6*100</f>
        <v>92.39</v>
      </c>
      <c r="L152">
        <f>SD!M6*100</f>
        <v>91.09</v>
      </c>
      <c r="M152">
        <f>SD!N6*100</f>
        <v>90.22</v>
      </c>
      <c r="N152">
        <f>SD!O6*100</f>
        <v>70.44</v>
      </c>
      <c r="O152">
        <f>SD!P6*100</f>
        <v>69.789999999999992</v>
      </c>
      <c r="P152">
        <f>SD!Q6*100</f>
        <v>69.789999999999992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2</v>
      </c>
      <c r="F153">
        <f>SD!G7</f>
        <v>0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4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100.1</v>
      </c>
      <c r="C156">
        <f>SD!D36*100</f>
        <v>98.850000000000009</v>
      </c>
      <c r="D156">
        <f>SD!E36*100</f>
        <v>100.98</v>
      </c>
      <c r="E156">
        <f>SD!F36*100</f>
        <v>91.24</v>
      </c>
      <c r="F156">
        <f>SD!G36*100</f>
        <v>70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topLeftCell="A24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20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8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0.55869999999999997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0.44130000000000003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8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workbookViewId="0">
      <selection activeCell="A91" sqref="A9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8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8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59" customFormat="1" x14ac:dyDescent="0.2">
      <c r="A54" s="59" t="str">
        <f>$A$152</f>
        <v>% Plan</v>
      </c>
      <c r="B54" s="59">
        <f>(B53/B52)*100</f>
        <v>70</v>
      </c>
      <c r="C54" s="59">
        <f t="shared" ref="C54:P54" si="0">(C53/C52)*100</f>
        <v>70</v>
      </c>
      <c r="D54" s="59">
        <f t="shared" si="0"/>
        <v>93.333333333333329</v>
      </c>
      <c r="E54" s="59">
        <f t="shared" si="0"/>
        <v>96.666666666666671</v>
      </c>
      <c r="F54" s="59">
        <f t="shared" si="0"/>
        <v>96.666666666666671</v>
      </c>
      <c r="G54" s="59">
        <f t="shared" si="0"/>
        <v>96.666666666666671</v>
      </c>
      <c r="H54" s="59">
        <f t="shared" si="0"/>
        <v>96.666666666666671</v>
      </c>
      <c r="I54" s="59">
        <f t="shared" si="0"/>
        <v>96.666666666666671</v>
      </c>
      <c r="J54" s="59">
        <f t="shared" si="0"/>
        <v>96.666666666666671</v>
      </c>
      <c r="K54" s="59">
        <f t="shared" si="0"/>
        <v>96.666666666666671</v>
      </c>
      <c r="L54" s="59">
        <f t="shared" si="0"/>
        <v>96.666666666666671</v>
      </c>
      <c r="M54" s="59">
        <f t="shared" si="0"/>
        <v>96.666666666666671</v>
      </c>
      <c r="N54" s="59">
        <f t="shared" si="0"/>
        <v>96.666666666666671</v>
      </c>
      <c r="O54" s="59">
        <f t="shared" si="0"/>
        <v>96.666666666666671</v>
      </c>
      <c r="P54" s="59">
        <f t="shared" si="0"/>
        <v>96.666666666666671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76.363636363636346</v>
      </c>
      <c r="C56" s="60">
        <f>(AVERAGE(E53:G53)/AVERAGE(E52:G52))*100</f>
        <v>96.666666666666671</v>
      </c>
      <c r="D56" s="60">
        <f>(AVERAGE(H53:J53)/AVERAGE(H52:J52))*100</f>
        <v>96.666666666666671</v>
      </c>
      <c r="E56" s="60">
        <f>(AVERAGE(K53:M53)/AVERAGE(K52:M52))*100</f>
        <v>96.666666666666671</v>
      </c>
      <c r="F56" s="60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59" customFormat="1" x14ac:dyDescent="0.2">
      <c r="A64" s="59" t="str">
        <f>$A$152</f>
        <v>% Plan</v>
      </c>
      <c r="B64" s="59">
        <f>(B63/B62)*100</f>
        <v>65.15625</v>
      </c>
      <c r="C64" s="59">
        <f t="shared" ref="C64:P64" si="2">(C63/C62)*100</f>
        <v>78.0078125</v>
      </c>
      <c r="D64" s="59">
        <f t="shared" si="2"/>
        <v>76.7578125</v>
      </c>
      <c r="E64" s="59">
        <f t="shared" si="2"/>
        <v>87.6640625</v>
      </c>
      <c r="F64" s="59">
        <f t="shared" si="2"/>
        <v>88.6015625</v>
      </c>
      <c r="G64" s="59">
        <f t="shared" si="2"/>
        <v>87.3515625</v>
      </c>
      <c r="H64" s="59">
        <f t="shared" si="2"/>
        <v>66.84375</v>
      </c>
      <c r="I64" s="59">
        <f t="shared" si="2"/>
        <v>64.34375</v>
      </c>
      <c r="J64" s="59">
        <f t="shared" si="2"/>
        <v>64.34375</v>
      </c>
      <c r="K64" s="59">
        <f t="shared" si="2"/>
        <v>51.375000000000007</v>
      </c>
      <c r="L64" s="59">
        <f t="shared" si="2"/>
        <v>51.375000000000007</v>
      </c>
      <c r="M64" s="59">
        <f t="shared" si="2"/>
        <v>51.375000000000007</v>
      </c>
      <c r="N64" s="59">
        <f t="shared" si="2"/>
        <v>46.0625</v>
      </c>
      <c r="O64" s="59">
        <f t="shared" si="2"/>
        <v>46.0625</v>
      </c>
      <c r="P64" s="59">
        <f t="shared" si="2"/>
        <v>46.0625</v>
      </c>
    </row>
    <row r="65" spans="1:1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16" s="60" customFormat="1" x14ac:dyDescent="0.2">
      <c r="A66" s="60" t="str">
        <f>$A$156</f>
        <v>% Plan</v>
      </c>
      <c r="B66" s="60">
        <f>(AVERAGE(B63:D63)/AVERAGE(B62:D62))*100</f>
        <v>73.307291666666657</v>
      </c>
      <c r="C66" s="60">
        <f>(AVERAGE(E63:G63)/AVERAGE(E62:G62))*100</f>
        <v>87.872395833333343</v>
      </c>
      <c r="D66" s="60">
        <f>(AVERAGE(H63:J63)/AVERAGE(H62:J62))*100</f>
        <v>65.177083333333343</v>
      </c>
      <c r="E66" s="60">
        <f>(AVERAGE(K63:M63)/AVERAGE(K62:M62))*100</f>
        <v>51.375000000000007</v>
      </c>
      <c r="F66" s="60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59" customFormat="1" x14ac:dyDescent="0.2">
      <c r="A74" s="59" t="str">
        <f>$A$152</f>
        <v>% Plan</v>
      </c>
      <c r="B74" s="59">
        <f>(B73/B72)*100</f>
        <v>60</v>
      </c>
      <c r="C74" s="59">
        <f t="shared" ref="C74:P74" si="4">(C73/C72)*100</f>
        <v>75</v>
      </c>
      <c r="D74" s="59">
        <f t="shared" si="4"/>
        <v>69.166666666666671</v>
      </c>
      <c r="E74" s="59">
        <f t="shared" si="4"/>
        <v>84.166666666666671</v>
      </c>
      <c r="F74" s="59">
        <f t="shared" si="4"/>
        <v>88.333333333333329</v>
      </c>
      <c r="G74" s="59">
        <f t="shared" si="4"/>
        <v>82.5</v>
      </c>
      <c r="H74" s="59">
        <f t="shared" si="4"/>
        <v>89</v>
      </c>
      <c r="I74" s="59">
        <f t="shared" si="4"/>
        <v>76</v>
      </c>
      <c r="J74" s="59">
        <f t="shared" si="4"/>
        <v>75</v>
      </c>
      <c r="K74" s="59">
        <f t="shared" si="4"/>
        <v>74</v>
      </c>
      <c r="L74" s="59">
        <f t="shared" si="4"/>
        <v>74</v>
      </c>
      <c r="M74" s="59">
        <f t="shared" si="4"/>
        <v>74</v>
      </c>
      <c r="N74" s="59">
        <f t="shared" si="4"/>
        <v>27.999999999999996</v>
      </c>
      <c r="O74" s="59">
        <f t="shared" si="4"/>
        <v>27.999999999999996</v>
      </c>
      <c r="P74" s="59">
        <f t="shared" si="4"/>
        <v>27.999999999999996</v>
      </c>
    </row>
    <row r="75" spans="1:16" s="60" customFormat="1" x14ac:dyDescent="0.2">
      <c r="B75" s="60" t="str">
        <f>B$155</f>
        <v>Q1</v>
      </c>
      <c r="C75" s="60" t="str">
        <f t="shared" ref="C75:F75" si="5">C$155</f>
        <v>Q2</v>
      </c>
      <c r="D75" s="60" t="str">
        <f t="shared" si="5"/>
        <v>Q3</v>
      </c>
      <c r="E75" s="60" t="str">
        <f t="shared" si="5"/>
        <v>Q4</v>
      </c>
      <c r="F75" s="60" t="str">
        <f t="shared" si="5"/>
        <v>Q1'27</v>
      </c>
    </row>
    <row r="76" spans="1:16" s="60" customFormat="1" x14ac:dyDescent="0.2">
      <c r="A76" s="60" t="str">
        <f>$A$156</f>
        <v>% Plan</v>
      </c>
      <c r="B76" s="60">
        <f>(AVERAGE(B73:D73)/AVERAGE(B72:D72))*100</f>
        <v>67.631578947368425</v>
      </c>
      <c r="C76" s="60">
        <f>(AVERAGE(E73:G73)/AVERAGE(E72:G72))*100</f>
        <v>85.000000000000014</v>
      </c>
      <c r="D76" s="60">
        <f>(AVERAGE(H73:J73)/AVERAGE(H72:J72))*100</f>
        <v>80</v>
      </c>
      <c r="E76" s="60">
        <f>(AVERAGE(K73:M73)/AVERAGE(K72:M72))*100</f>
        <v>74.000000000000014</v>
      </c>
      <c r="F76" s="60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59" customFormat="1" x14ac:dyDescent="0.2">
      <c r="A84" s="59" t="str">
        <f>$A$152</f>
        <v>% Plan</v>
      </c>
      <c r="B84" s="59">
        <f>(B83/B82)*100</f>
        <v>77.5</v>
      </c>
      <c r="C84" s="59">
        <f t="shared" ref="C84:P84" si="6">(C83/C82)*100</f>
        <v>80</v>
      </c>
      <c r="D84" s="59">
        <f t="shared" si="6"/>
        <v>74.6875</v>
      </c>
      <c r="E84" s="59">
        <f t="shared" si="6"/>
        <v>90</v>
      </c>
      <c r="F84" s="59">
        <f t="shared" si="6"/>
        <v>103.49999999999999</v>
      </c>
      <c r="G84" s="59">
        <f t="shared" si="6"/>
        <v>104.16666666666667</v>
      </c>
      <c r="H84" s="59">
        <f t="shared" si="6"/>
        <v>104.16666666666667</v>
      </c>
      <c r="I84" s="59">
        <f t="shared" si="6"/>
        <v>104.16666666666667</v>
      </c>
      <c r="J84" s="59">
        <f t="shared" si="6"/>
        <v>85.833333333333343</v>
      </c>
      <c r="K84" s="59">
        <f t="shared" si="6"/>
        <v>95.833333333333343</v>
      </c>
      <c r="L84" s="59">
        <f t="shared" si="6"/>
        <v>97.5</v>
      </c>
      <c r="M84" s="59">
        <f t="shared" si="6"/>
        <v>87.5</v>
      </c>
      <c r="N84" s="59">
        <f t="shared" si="6"/>
        <v>13.333333333333334</v>
      </c>
      <c r="O84" s="59">
        <f t="shared" si="6"/>
        <v>13.333333333333334</v>
      </c>
      <c r="P84" s="59">
        <f t="shared" si="6"/>
        <v>13.333333333333334</v>
      </c>
    </row>
    <row r="85" spans="1:16" s="60" customFormat="1" x14ac:dyDescent="0.2">
      <c r="B85" s="60" t="str">
        <f>B$155</f>
        <v>Q1</v>
      </c>
      <c r="C85" s="60" t="str">
        <f t="shared" ref="C85:F85" si="7">C$155</f>
        <v>Q2</v>
      </c>
      <c r="D85" s="60" t="str">
        <f t="shared" si="7"/>
        <v>Q3</v>
      </c>
      <c r="E85" s="60" t="str">
        <f t="shared" si="7"/>
        <v>Q4</v>
      </c>
      <c r="F85" s="60" t="str">
        <f t="shared" si="7"/>
        <v>Q1'27</v>
      </c>
    </row>
    <row r="86" spans="1:16" s="60" customFormat="1" x14ac:dyDescent="0.2">
      <c r="A86" s="60" t="str">
        <f>$A$156</f>
        <v>% Plan</v>
      </c>
      <c r="B86" s="60">
        <f>(AVERAGE(B83:D83)/AVERAGE(B82:D82))*100</f>
        <v>77.395833333333343</v>
      </c>
      <c r="C86" s="60">
        <f>(AVERAGE(E83:G83)/AVERAGE(E82:G82))*100</f>
        <v>98.3</v>
      </c>
      <c r="D86" s="60">
        <f>(AVERAGE(H83:J83)/AVERAGE(H82:J82))*100</f>
        <v>98.055555555555557</v>
      </c>
      <c r="E86" s="60">
        <f>(AVERAGE(K83:M83)/AVERAGE(K82:M82))*100</f>
        <v>93.611111111111128</v>
      </c>
      <c r="F86" s="60">
        <f>(AVERAGE(N83:P83)/AVERAGE(N82:P82))*100</f>
        <v>13.333333333333336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59" customFormat="1" x14ac:dyDescent="0.2">
      <c r="A94" s="59" t="str">
        <f>$A$152</f>
        <v>% Plan</v>
      </c>
      <c r="B94" s="59">
        <f>(B93/B92)*100</f>
        <v>60</v>
      </c>
      <c r="C94" s="59">
        <f t="shared" ref="C94:D94" si="8">(C93/C92)*100</f>
        <v>60</v>
      </c>
      <c r="D94" s="59">
        <f t="shared" si="8"/>
        <v>40</v>
      </c>
      <c r="E94" s="62">
        <f>0</f>
        <v>0</v>
      </c>
      <c r="F94" s="62">
        <f>0</f>
        <v>0</v>
      </c>
      <c r="G94" s="62">
        <f>0</f>
        <v>0</v>
      </c>
      <c r="H94" s="62">
        <f>0</f>
        <v>0</v>
      </c>
      <c r="I94" s="62">
        <f>0</f>
        <v>0</v>
      </c>
      <c r="J94" s="62">
        <f>0</f>
        <v>0</v>
      </c>
      <c r="K94" s="62">
        <f>0</f>
        <v>0</v>
      </c>
      <c r="L94" s="62">
        <f>0</f>
        <v>0</v>
      </c>
      <c r="M94" s="62">
        <f>0</f>
        <v>0</v>
      </c>
      <c r="N94" s="62">
        <f>0</f>
        <v>0</v>
      </c>
      <c r="O94" s="62">
        <f>0</f>
        <v>0</v>
      </c>
      <c r="P94" s="62">
        <f>0</f>
        <v>0</v>
      </c>
    </row>
    <row r="95" spans="1:16" s="60" customFormat="1" x14ac:dyDescent="0.2">
      <c r="B95" s="60" t="str">
        <f>B$155</f>
        <v>Q1</v>
      </c>
      <c r="C95" s="60" t="str">
        <f t="shared" ref="C95:F95" si="9">C$155</f>
        <v>Q2</v>
      </c>
      <c r="D95" s="60" t="str">
        <f t="shared" si="9"/>
        <v>Q3</v>
      </c>
      <c r="E95" s="60" t="str">
        <f t="shared" si="9"/>
        <v>Q4</v>
      </c>
      <c r="F95" s="60" t="str">
        <f t="shared" si="9"/>
        <v>Q1'27</v>
      </c>
    </row>
    <row r="96" spans="1:16" s="60" customFormat="1" x14ac:dyDescent="0.2">
      <c r="A96" s="60" t="str">
        <f>$A$156</f>
        <v>% Plan</v>
      </c>
      <c r="B96" s="60">
        <f>(AVERAGE(B93:D93)/AVERAGE(B92:D92))*100</f>
        <v>53.333333333333336</v>
      </c>
      <c r="C96" s="61">
        <v>0</v>
      </c>
      <c r="D96" s="61">
        <v>0</v>
      </c>
      <c r="E96" s="61">
        <v>0</v>
      </c>
      <c r="F96" s="61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91.97</v>
      </c>
      <c r="G152">
        <f>AIC!H6*100</f>
        <v>89.82</v>
      </c>
      <c r="H152">
        <f>AIC!I6*100</f>
        <v>83.28</v>
      </c>
      <c r="I152">
        <f>AIC!J6*100</f>
        <v>78.8</v>
      </c>
      <c r="J152">
        <f>AIC!K6*100</f>
        <v>75.64</v>
      </c>
      <c r="K152">
        <f>AIC!L6*100</f>
        <v>71.5</v>
      </c>
      <c r="L152">
        <f>AIC!M6*100</f>
        <v>71.760000000000005</v>
      </c>
      <c r="M152">
        <f>AIC!N6*100</f>
        <v>70.179999999999993</v>
      </c>
      <c r="N152">
        <f>AIC!O6*100</f>
        <v>44.13</v>
      </c>
      <c r="O152">
        <f>AIC!P6*100</f>
        <v>44.13</v>
      </c>
      <c r="P152">
        <f>AIC!Q6*100</f>
        <v>44.13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2</v>
      </c>
      <c r="G153">
        <f>AIC!H7</f>
        <v>2</v>
      </c>
      <c r="H153">
        <f>AIC!I7</f>
        <v>3</v>
      </c>
      <c r="I153">
        <f>AIC!J7</f>
        <v>4</v>
      </c>
      <c r="J153">
        <f>AIC!K7</f>
        <v>5</v>
      </c>
      <c r="K153">
        <f>AIC!L7</f>
        <v>5</v>
      </c>
      <c r="L153">
        <f>AIC!M7</f>
        <v>5</v>
      </c>
      <c r="M153">
        <f>AIC!N7</f>
        <v>6</v>
      </c>
      <c r="N153">
        <f>AIC!O7</f>
        <v>11</v>
      </c>
      <c r="O153">
        <f>AIC!P7</f>
        <v>11</v>
      </c>
      <c r="P153">
        <f>AIC!Q7</f>
        <v>11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90.03</v>
      </c>
      <c r="D156">
        <f>AIC!E36*100</f>
        <v>79.239999999999995</v>
      </c>
      <c r="E156">
        <f>AIC!F36*100</f>
        <v>71.150000000000006</v>
      </c>
      <c r="F156">
        <f>AIC!G36*100</f>
        <v>44.13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2</v>
      </c>
      <c r="D157">
        <f>AIC!E37</f>
        <v>4</v>
      </c>
      <c r="E157">
        <f>AIC!F37</f>
        <v>5</v>
      </c>
      <c r="F157">
        <f>AIC!G37</f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21" workbookViewId="0">
      <selection activeCell="H38" sqref="H3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topLeftCell="A13" workbookViewId="0">
      <selection activeCell="L41" sqref="L41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59" customFormat="1" x14ac:dyDescent="0.2">
      <c r="A54" s="59" t="str">
        <f>$A$152</f>
        <v>% Plan</v>
      </c>
      <c r="B54" s="59">
        <f>(B53/B52)*100</f>
        <v>100</v>
      </c>
      <c r="C54" s="59">
        <f t="shared" ref="C54:P54" si="0">(C53/C52)*100</f>
        <v>100</v>
      </c>
      <c r="D54" s="59">
        <f t="shared" si="0"/>
        <v>100</v>
      </c>
      <c r="E54" s="59">
        <f t="shared" si="0"/>
        <v>100</v>
      </c>
      <c r="F54" s="59">
        <f t="shared" si="0"/>
        <v>100</v>
      </c>
      <c r="G54" s="59">
        <f t="shared" si="0"/>
        <v>100</v>
      </c>
      <c r="H54" s="59">
        <f t="shared" si="0"/>
        <v>100</v>
      </c>
      <c r="I54" s="59">
        <f t="shared" si="0"/>
        <v>100</v>
      </c>
      <c r="J54" s="59">
        <f t="shared" si="0"/>
        <v>100</v>
      </c>
      <c r="K54" s="59">
        <f t="shared" si="0"/>
        <v>100</v>
      </c>
      <c r="L54" s="59">
        <f t="shared" si="0"/>
        <v>100</v>
      </c>
      <c r="M54" s="59">
        <f t="shared" si="0"/>
        <v>100</v>
      </c>
      <c r="N54" s="59">
        <f t="shared" si="0"/>
        <v>100</v>
      </c>
      <c r="O54" s="59">
        <f t="shared" si="0"/>
        <v>100</v>
      </c>
      <c r="P54" s="59">
        <f t="shared" si="0"/>
        <v>100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100</v>
      </c>
      <c r="C56" s="60">
        <f>(AVERAGE(E53:G53)/AVERAGE(E52:G52))*100</f>
        <v>100</v>
      </c>
      <c r="D56" s="60">
        <f>(AVERAGE(H53:J53)/AVERAGE(H52:J52))*100</f>
        <v>100</v>
      </c>
      <c r="E56" s="60">
        <f>(AVERAGE(K53:M53)/AVERAGE(K52:M52))*100</f>
        <v>100</v>
      </c>
      <c r="F56" s="60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59" customFormat="1" x14ac:dyDescent="0.2">
      <c r="A64" s="59" t="str">
        <f>$A$152</f>
        <v>% Plan</v>
      </c>
      <c r="B64" s="59">
        <f>(B63/B62)*100</f>
        <v>100</v>
      </c>
      <c r="C64" s="59">
        <f t="shared" ref="C64:P64" si="2">(C63/C62)*100</f>
        <v>100</v>
      </c>
      <c r="D64" s="59">
        <f t="shared" si="2"/>
        <v>100</v>
      </c>
      <c r="E64" s="59">
        <f t="shared" si="2"/>
        <v>100</v>
      </c>
      <c r="F64" s="59">
        <f t="shared" si="2"/>
        <v>100</v>
      </c>
      <c r="G64" s="59">
        <f t="shared" si="2"/>
        <v>100</v>
      </c>
      <c r="H64" s="59">
        <f t="shared" si="2"/>
        <v>100</v>
      </c>
      <c r="I64" s="59">
        <f t="shared" si="2"/>
        <v>100</v>
      </c>
      <c r="J64" s="59">
        <f t="shared" si="2"/>
        <v>100</v>
      </c>
      <c r="K64" s="59">
        <f t="shared" si="2"/>
        <v>100</v>
      </c>
      <c r="L64" s="59">
        <f t="shared" si="2"/>
        <v>100</v>
      </c>
      <c r="M64" s="59">
        <f t="shared" si="2"/>
        <v>100</v>
      </c>
      <c r="N64" s="59">
        <f t="shared" si="2"/>
        <v>100</v>
      </c>
      <c r="O64" s="59">
        <f t="shared" si="2"/>
        <v>100</v>
      </c>
      <c r="P64" s="59">
        <f t="shared" si="2"/>
        <v>100</v>
      </c>
    </row>
    <row r="65" spans="1:1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16" s="60" customFormat="1" x14ac:dyDescent="0.2">
      <c r="A66" s="60" t="str">
        <f>$A$156</f>
        <v>% Plan</v>
      </c>
      <c r="B66" s="60">
        <f>(AVERAGE(B63:D63)/AVERAGE(B62:D62))*100</f>
        <v>100</v>
      </c>
      <c r="C66" s="60">
        <f>(AVERAGE(E63:G63)/AVERAGE(E62:G62))*100</f>
        <v>100</v>
      </c>
      <c r="D66" s="60">
        <f>(AVERAGE(H63:J63)/AVERAGE(H62:J62))*100</f>
        <v>100</v>
      </c>
      <c r="E66" s="60">
        <f>(AVERAGE(K63:M63)/AVERAGE(K62:M62))*100</f>
        <v>100</v>
      </c>
      <c r="F66" s="60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59" customFormat="1" x14ac:dyDescent="0.2">
      <c r="A74" s="59" t="str">
        <f>$A$152</f>
        <v>% Plan</v>
      </c>
      <c r="B74" s="59">
        <f>(B73/B72)*100</f>
        <v>100</v>
      </c>
      <c r="C74" s="59">
        <f t="shared" ref="C74:P74" si="4">(C73/C72)*100</f>
        <v>100</v>
      </c>
      <c r="D74" s="59">
        <f t="shared" si="4"/>
        <v>100</v>
      </c>
      <c r="E74" s="59">
        <f t="shared" si="4"/>
        <v>100</v>
      </c>
      <c r="F74" s="59">
        <f t="shared" si="4"/>
        <v>100</v>
      </c>
      <c r="G74" s="59">
        <f t="shared" si="4"/>
        <v>100</v>
      </c>
      <c r="H74" s="59">
        <f t="shared" si="4"/>
        <v>100</v>
      </c>
      <c r="I74" s="59">
        <f t="shared" si="4"/>
        <v>100</v>
      </c>
      <c r="J74" s="59">
        <f t="shared" si="4"/>
        <v>100</v>
      </c>
      <c r="K74" s="59">
        <f t="shared" si="4"/>
        <v>100</v>
      </c>
      <c r="L74" s="59">
        <f t="shared" si="4"/>
        <v>100</v>
      </c>
      <c r="M74" s="59">
        <f t="shared" si="4"/>
        <v>100</v>
      </c>
      <c r="N74" s="59">
        <f t="shared" si="4"/>
        <v>100</v>
      </c>
      <c r="O74" s="59">
        <f t="shared" si="4"/>
        <v>100</v>
      </c>
      <c r="P74" s="59">
        <f t="shared" si="4"/>
        <v>100</v>
      </c>
    </row>
    <row r="75" spans="1:16" s="60" customFormat="1" x14ac:dyDescent="0.2">
      <c r="B75" s="60" t="str">
        <f>B$155</f>
        <v>Q1</v>
      </c>
      <c r="C75" s="60" t="str">
        <f t="shared" ref="C75:F75" si="5">C$155</f>
        <v>Q2</v>
      </c>
      <c r="D75" s="60" t="str">
        <f t="shared" si="5"/>
        <v>Q3</v>
      </c>
      <c r="E75" s="60" t="str">
        <f t="shared" si="5"/>
        <v>Q4</v>
      </c>
      <c r="F75" s="60" t="str">
        <f t="shared" si="5"/>
        <v>Q1'27</v>
      </c>
    </row>
    <row r="76" spans="1:16" s="60" customFormat="1" x14ac:dyDescent="0.2">
      <c r="A76" s="60" t="str">
        <f>$A$156</f>
        <v>% Plan</v>
      </c>
      <c r="B76" s="60">
        <f>(AVERAGE(B73:D73)/AVERAGE(B72:D72))*100</f>
        <v>100</v>
      </c>
      <c r="C76" s="60">
        <f>(AVERAGE(E73:G73)/AVERAGE(E72:G72))*100</f>
        <v>100</v>
      </c>
      <c r="D76" s="60">
        <f>(AVERAGE(H73:J73)/AVERAGE(H72:J72))*100</f>
        <v>100</v>
      </c>
      <c r="E76" s="60">
        <f>(AVERAGE(K73:M73)/AVERAGE(K72:M72))*100</f>
        <v>100</v>
      </c>
      <c r="F76" s="60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59" customFormat="1" x14ac:dyDescent="0.2">
      <c r="A84" s="59" t="str">
        <f>$A$152</f>
        <v>% Plan</v>
      </c>
      <c r="B84" s="59">
        <f>(B83/B82)*100</f>
        <v>100</v>
      </c>
      <c r="C84" s="59">
        <f t="shared" ref="C84:P84" si="6">(C83/C82)*100</f>
        <v>100</v>
      </c>
      <c r="D84" s="59">
        <f t="shared" si="6"/>
        <v>100</v>
      </c>
      <c r="E84" s="59">
        <f t="shared" si="6"/>
        <v>100</v>
      </c>
      <c r="F84" s="59">
        <f t="shared" si="6"/>
        <v>100</v>
      </c>
      <c r="G84" s="59">
        <f t="shared" si="6"/>
        <v>100</v>
      </c>
      <c r="H84" s="59">
        <f t="shared" si="6"/>
        <v>100</v>
      </c>
      <c r="I84" s="59">
        <f t="shared" si="6"/>
        <v>100</v>
      </c>
      <c r="J84" s="59">
        <f t="shared" si="6"/>
        <v>100</v>
      </c>
      <c r="K84" s="59">
        <f t="shared" si="6"/>
        <v>100</v>
      </c>
      <c r="L84" s="59">
        <f t="shared" si="6"/>
        <v>100</v>
      </c>
      <c r="M84" s="59">
        <f t="shared" si="6"/>
        <v>100</v>
      </c>
      <c r="N84" s="59">
        <f t="shared" si="6"/>
        <v>100</v>
      </c>
      <c r="O84" s="59">
        <f t="shared" si="6"/>
        <v>100</v>
      </c>
      <c r="P84" s="59">
        <f t="shared" si="6"/>
        <v>100</v>
      </c>
    </row>
    <row r="85" spans="1:16" s="60" customFormat="1" x14ac:dyDescent="0.2">
      <c r="B85" s="60" t="str">
        <f>B$155</f>
        <v>Q1</v>
      </c>
      <c r="C85" s="60" t="str">
        <f t="shared" ref="C85:F85" si="7">C$155</f>
        <v>Q2</v>
      </c>
      <c r="D85" s="60" t="str">
        <f t="shared" si="7"/>
        <v>Q3</v>
      </c>
      <c r="E85" s="60" t="str">
        <f t="shared" si="7"/>
        <v>Q4</v>
      </c>
      <c r="F85" s="60" t="str">
        <f t="shared" si="7"/>
        <v>Q1'27</v>
      </c>
    </row>
    <row r="86" spans="1:16" s="60" customFormat="1" x14ac:dyDescent="0.2">
      <c r="A86" s="60" t="str">
        <f>$A$156</f>
        <v>% Plan</v>
      </c>
      <c r="B86" s="60">
        <f>(AVERAGE(B83:D83)/AVERAGE(B82:D82))*100</f>
        <v>100</v>
      </c>
      <c r="C86" s="60">
        <f>(AVERAGE(E83:G83)/AVERAGE(E82:G82))*100</f>
        <v>100</v>
      </c>
      <c r="D86" s="60">
        <f>(AVERAGE(H83:J83)/AVERAGE(H82:J82))*100</f>
        <v>100</v>
      </c>
      <c r="E86" s="60">
        <f>(AVERAGE(K83:M83)/AVERAGE(K82:M82))*100</f>
        <v>100</v>
      </c>
      <c r="F86" s="60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26"/>
  <sheetViews>
    <sheetView workbookViewId="0">
      <pane ySplit="1" topLeftCell="A2" activePane="bottomLeft" state="frozen"/>
      <selection pane="bottomLeft" activeCell="H22" sqref="H22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123</v>
      </c>
      <c r="B2" s="8">
        <v>2.46</v>
      </c>
      <c r="C2" s="8">
        <v>2.4649999999999999</v>
      </c>
      <c r="D2" s="8">
        <v>2.4649999999999999</v>
      </c>
      <c r="E2" s="8">
        <v>1.95</v>
      </c>
      <c r="F2" s="8">
        <v>2.2999999999999998</v>
      </c>
      <c r="G2" s="8">
        <v>3.2</v>
      </c>
      <c r="H2" s="8">
        <v>2.9</v>
      </c>
      <c r="I2" s="8">
        <v>2.7749999999999999</v>
      </c>
      <c r="J2" s="8">
        <v>2.7749999999999999</v>
      </c>
      <c r="K2" s="8">
        <v>2.6124999999999998</v>
      </c>
      <c r="L2" s="8">
        <v>2.6124999999999998</v>
      </c>
      <c r="M2" s="8">
        <v>2.6124999999999998</v>
      </c>
      <c r="N2" s="8">
        <v>0.80249999999999999</v>
      </c>
      <c r="O2" s="8">
        <v>0.80249999999999999</v>
      </c>
      <c r="P2" s="8">
        <v>0.80249999999999999</v>
      </c>
      <c r="Q2" s="8"/>
      <c r="R2" s="8"/>
      <c r="S2" s="56"/>
      <c r="T2" s="8"/>
      <c r="U2" s="8"/>
      <c r="V2" s="56"/>
    </row>
    <row r="3" spans="1:22" x14ac:dyDescent="0.2">
      <c r="A3" s="8" t="s">
        <v>124</v>
      </c>
      <c r="B3" s="8">
        <v>3.37</v>
      </c>
      <c r="C3" s="8">
        <v>2.77</v>
      </c>
      <c r="D3" s="8">
        <v>2.59</v>
      </c>
      <c r="E3" s="8">
        <v>2.08</v>
      </c>
      <c r="F3" s="8">
        <v>2.13</v>
      </c>
      <c r="G3" s="8">
        <v>1.75</v>
      </c>
      <c r="H3" s="8">
        <v>2</v>
      </c>
      <c r="I3" s="8">
        <v>2</v>
      </c>
      <c r="J3" s="8">
        <v>2</v>
      </c>
      <c r="K3" s="8">
        <v>2</v>
      </c>
      <c r="L3" s="8">
        <v>2</v>
      </c>
      <c r="M3" s="8">
        <v>2</v>
      </c>
      <c r="N3" s="8">
        <v>1.55</v>
      </c>
      <c r="O3" s="8">
        <v>1.55</v>
      </c>
      <c r="P3" s="8">
        <v>1.55</v>
      </c>
      <c r="Q3" s="8"/>
      <c r="R3" s="8"/>
      <c r="S3" s="56"/>
      <c r="T3" s="8"/>
      <c r="U3" s="8"/>
      <c r="V3" s="56"/>
    </row>
    <row r="4" spans="1:22" x14ac:dyDescent="0.2">
      <c r="A4" s="8" t="s">
        <v>125</v>
      </c>
      <c r="B4" s="8">
        <v>1.75</v>
      </c>
      <c r="C4" s="8">
        <v>1.1000000000000001</v>
      </c>
      <c r="D4" s="8">
        <v>1.2749999999999999</v>
      </c>
      <c r="E4" s="8">
        <v>0.95</v>
      </c>
      <c r="F4" s="8">
        <v>0.8</v>
      </c>
      <c r="G4" s="8">
        <v>0.6</v>
      </c>
      <c r="H4" s="8">
        <v>0.5</v>
      </c>
      <c r="I4" s="8">
        <v>0.5</v>
      </c>
      <c r="J4" s="8">
        <v>0.5</v>
      </c>
      <c r="K4" s="8">
        <v>0.5</v>
      </c>
      <c r="L4" s="8">
        <v>0.5</v>
      </c>
      <c r="M4" s="8">
        <v>0.5</v>
      </c>
      <c r="N4" s="8">
        <v>0.5</v>
      </c>
      <c r="O4" s="8">
        <v>0.5</v>
      </c>
      <c r="P4" s="8">
        <v>0.5</v>
      </c>
      <c r="Q4" s="8"/>
      <c r="R4" s="8"/>
      <c r="S4" s="56"/>
      <c r="T4" s="8"/>
      <c r="U4" s="8"/>
      <c r="V4" s="56"/>
    </row>
    <row r="5" spans="1:22" x14ac:dyDescent="0.2">
      <c r="A5" s="8" t="s">
        <v>126</v>
      </c>
      <c r="B5" s="8">
        <v>3.2650000000000001</v>
      </c>
      <c r="C5" s="8">
        <v>3.165</v>
      </c>
      <c r="D5" s="8">
        <v>3.0649999999999999</v>
      </c>
      <c r="E5" s="8">
        <v>2.7250000000000001</v>
      </c>
      <c r="F5" s="8">
        <v>2.875</v>
      </c>
      <c r="G5" s="8">
        <v>3.46</v>
      </c>
      <c r="H5" s="8">
        <v>2.6850000000000001</v>
      </c>
      <c r="I5" s="8">
        <v>2.9849999999999999</v>
      </c>
      <c r="J5" s="8">
        <v>2.9849999999999999</v>
      </c>
      <c r="K5" s="8">
        <v>2.9224999999999999</v>
      </c>
      <c r="L5" s="8">
        <v>2.9224999999999999</v>
      </c>
      <c r="M5" s="8">
        <v>2.9224999999999999</v>
      </c>
      <c r="N5" s="8">
        <v>2.81</v>
      </c>
      <c r="O5" s="8">
        <v>2.81</v>
      </c>
      <c r="P5" s="8">
        <v>2.81</v>
      </c>
      <c r="Q5" s="8"/>
      <c r="R5" s="8"/>
      <c r="S5" s="56"/>
      <c r="T5" s="8"/>
      <c r="U5" s="8"/>
      <c r="V5" s="56"/>
    </row>
    <row r="6" spans="1:22" x14ac:dyDescent="0.2">
      <c r="A6" s="8" t="s">
        <v>127</v>
      </c>
      <c r="B6" s="8">
        <v>3.25</v>
      </c>
      <c r="C6" s="8">
        <v>3.625</v>
      </c>
      <c r="D6" s="8">
        <v>3.67</v>
      </c>
      <c r="E6" s="8">
        <v>3.4824999999999999</v>
      </c>
      <c r="F6" s="8">
        <v>2.9824999999999999</v>
      </c>
      <c r="G6" s="8">
        <v>2.9874999999999998</v>
      </c>
      <c r="H6" s="8">
        <v>2.3125</v>
      </c>
      <c r="I6" s="8">
        <v>2.2124999999999999</v>
      </c>
      <c r="J6" s="8">
        <v>3.1124999999999998</v>
      </c>
      <c r="K6" s="8">
        <v>3.1124999999999998</v>
      </c>
      <c r="L6" s="8">
        <v>3.1124999999999998</v>
      </c>
      <c r="M6" s="8">
        <v>3.1124999999999998</v>
      </c>
      <c r="N6" s="8">
        <v>3.05</v>
      </c>
      <c r="O6" s="8">
        <v>3.05</v>
      </c>
      <c r="P6" s="8">
        <v>3.05</v>
      </c>
      <c r="Q6" s="8"/>
      <c r="R6" s="8"/>
      <c r="S6" s="56"/>
      <c r="T6" s="8"/>
      <c r="U6" s="8"/>
      <c r="V6" s="56"/>
    </row>
    <row r="7" spans="1:22" x14ac:dyDescent="0.2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128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29"/>
  <sheetViews>
    <sheetView topLeftCell="A7" workbookViewId="0">
      <selection activeCell="A31" sqref="A31"/>
    </sheetView>
  </sheetViews>
  <sheetFormatPr baseColWidth="10" defaultRowHeight="16" x14ac:dyDescent="0.2"/>
  <cols>
    <col min="1" max="1" width="22.832031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GINII</v>
      </c>
      <c r="B2">
        <f>IF(Project!B2&gt;0,Project!B2,"")</f>
        <v>2.46</v>
      </c>
      <c r="C2">
        <f>IF(Project!C2&gt;0,Project!C2,"")</f>
        <v>2.4649999999999999</v>
      </c>
      <c r="D2">
        <f>IF(Project!D2&gt;0,Project!D2,"")</f>
        <v>2.4649999999999999</v>
      </c>
      <c r="E2">
        <f>IF(Project!E2&gt;0,Project!E2,"")</f>
        <v>1.95</v>
      </c>
      <c r="F2">
        <f>IF(Project!F2&gt;0,Project!F2,"")</f>
        <v>2.2999999999999998</v>
      </c>
      <c r="G2">
        <f>IF(Project!G2&gt;0,Project!G2,"")</f>
        <v>3.2</v>
      </c>
      <c r="H2">
        <f>IF(Project!H2&gt;0,Project!H2,"")</f>
        <v>2.9</v>
      </c>
      <c r="I2">
        <f>IF(Project!I2&gt;0,Project!I2,"")</f>
        <v>2.7749999999999999</v>
      </c>
      <c r="J2">
        <f>IF(Project!J2&gt;0,Project!J2,"")</f>
        <v>2.7749999999999999</v>
      </c>
      <c r="K2">
        <f>IF(Project!K2&gt;0,Project!K2,"")</f>
        <v>2.6124999999999998</v>
      </c>
      <c r="L2">
        <f>IF(Project!L2&gt;0,Project!L2,"")</f>
        <v>2.6124999999999998</v>
      </c>
      <c r="M2">
        <f>IF(Project!M2&gt;0,Project!M2,"")</f>
        <v>2.6124999999999998</v>
      </c>
      <c r="N2">
        <f>IF(Project!N2&gt;0,Project!N2,"")</f>
        <v>0.80249999999999999</v>
      </c>
      <c r="O2">
        <f>IF(Project!O2&gt;0,Project!O2,"")</f>
        <v>0.80249999999999999</v>
      </c>
      <c r="P2">
        <f>IF(Project!P2&gt;0,Project!P2,"")</f>
        <v>0.80249999999999999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3.37</v>
      </c>
      <c r="C3">
        <f>IF(Project!C3&gt;0,Project!C3,"")</f>
        <v>2.77</v>
      </c>
      <c r="D3">
        <f>IF(Project!D3&gt;0,Project!D3,"")</f>
        <v>2.59</v>
      </c>
      <c r="E3">
        <f>IF(Project!E3&gt;0,Project!E3,"")</f>
        <v>2.08</v>
      </c>
      <c r="F3">
        <f>IF(Project!F3&gt;0,Project!F3,"")</f>
        <v>2.13</v>
      </c>
      <c r="G3">
        <f>IF(Project!G3&gt;0,Project!G3,"")</f>
        <v>1.75</v>
      </c>
      <c r="H3">
        <f>IF(Project!H3&gt;0,Project!H3,"")</f>
        <v>2</v>
      </c>
      <c r="I3">
        <f>IF(Project!I3&gt;0,Project!I3,"")</f>
        <v>2</v>
      </c>
      <c r="J3">
        <f>IF(Project!J3&gt;0,Project!J3,"")</f>
        <v>2</v>
      </c>
      <c r="K3">
        <f>IF(Project!K3&gt;0,Project!K3,"")</f>
        <v>2</v>
      </c>
      <c r="L3">
        <f>IF(Project!L3&gt;0,Project!L3,"")</f>
        <v>2</v>
      </c>
      <c r="M3">
        <f>IF(Project!M3&gt;0,Project!M3,"")</f>
        <v>2</v>
      </c>
      <c r="N3">
        <f>IF(Project!N3&gt;0,Project!N3,"")</f>
        <v>1.55</v>
      </c>
      <c r="O3">
        <f>IF(Project!O3&gt;0,Project!O3,"")</f>
        <v>1.55</v>
      </c>
      <c r="P3">
        <f>IF(Project!P3&gt;0,Project!P3,"")</f>
        <v>1.55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RGUARD</v>
      </c>
      <c r="B4">
        <f>IF(Project!B4&gt;0,Project!B4,"")</f>
        <v>1.75</v>
      </c>
      <c r="C4">
        <f>IF(Project!C4&gt;0,Project!C4,"")</f>
        <v>1.1000000000000001</v>
      </c>
      <c r="D4">
        <f>IF(Project!D4&gt;0,Project!D4,"")</f>
        <v>1.2749999999999999</v>
      </c>
      <c r="E4">
        <f>IF(Project!E4&gt;0,Project!E4,"")</f>
        <v>0.95</v>
      </c>
      <c r="F4">
        <f>IF(Project!F4&gt;0,Project!F4,"")</f>
        <v>0.8</v>
      </c>
      <c r="G4">
        <f>IF(Project!G4&gt;0,Project!G4,"")</f>
        <v>0.6</v>
      </c>
      <c r="H4">
        <f>IF(Project!H4&gt;0,Project!H4,"")</f>
        <v>0.5</v>
      </c>
      <c r="I4">
        <f>IF(Project!I4&gt;0,Project!I4,"")</f>
        <v>0.5</v>
      </c>
      <c r="J4">
        <f>IF(Project!J4&gt;0,Project!J4,"")</f>
        <v>0.5</v>
      </c>
      <c r="K4">
        <f>IF(Project!K4&gt;0,Project!K4,"")</f>
        <v>0.5</v>
      </c>
      <c r="L4">
        <f>IF(Project!L4&gt;0,Project!L4,"")</f>
        <v>0.5</v>
      </c>
      <c r="M4">
        <f>IF(Project!M4&gt;0,Project!M4,"")</f>
        <v>0.5</v>
      </c>
      <c r="N4">
        <f>IF(Project!N4&gt;0,Project!N4,"")</f>
        <v>0.5</v>
      </c>
      <c r="O4">
        <f>IF(Project!O4&gt;0,Project!O4,"")</f>
        <v>0.5</v>
      </c>
      <c r="P4">
        <f>IF(Project!P4&gt;0,Project!P4,"")</f>
        <v>0.5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2.7250000000000001</v>
      </c>
      <c r="F5">
        <f>IF(Project!F5&gt;0,Project!F5,"")</f>
        <v>2.875</v>
      </c>
      <c r="G5">
        <f>IF(Project!G5&gt;0,Project!G5,"")</f>
        <v>3.46</v>
      </c>
      <c r="H5">
        <f>IF(Project!H5&gt;0,Project!H5,"")</f>
        <v>2.6850000000000001</v>
      </c>
      <c r="I5">
        <f>IF(Project!I5&gt;0,Project!I5,"")</f>
        <v>2.9849999999999999</v>
      </c>
      <c r="J5">
        <f>IF(Project!J5&gt;0,Project!J5,"")</f>
        <v>2.9849999999999999</v>
      </c>
      <c r="K5">
        <f>IF(Project!K5&gt;0,Project!K5,"")</f>
        <v>2.9224999999999999</v>
      </c>
      <c r="L5">
        <f>IF(Project!L5&gt;0,Project!L5,"")</f>
        <v>2.9224999999999999</v>
      </c>
      <c r="M5">
        <f>IF(Project!M5&gt;0,Project!M5,"")</f>
        <v>2.9224999999999999</v>
      </c>
      <c r="N5">
        <f>IF(Project!N5&gt;0,Project!N5,"")</f>
        <v>2.81</v>
      </c>
      <c r="O5">
        <f>IF(Project!O5&gt;0,Project!O5,"")</f>
        <v>2.81</v>
      </c>
      <c r="P5">
        <f>IF(Project!P5&gt;0,Project!P5,"")</f>
        <v>2.81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3.25</v>
      </c>
      <c r="C6">
        <f>IF(Project!C6&gt;0,Project!C6,"")</f>
        <v>3.625</v>
      </c>
      <c r="D6">
        <f>IF(Project!D6&gt;0,Project!D6,"")</f>
        <v>3.67</v>
      </c>
      <c r="E6">
        <f>IF(Project!E6&gt;0,Project!E6,"")</f>
        <v>3.4824999999999999</v>
      </c>
      <c r="F6">
        <f>IF(Project!F6&gt;0,Project!F6,"")</f>
        <v>2.9824999999999999</v>
      </c>
      <c r="G6">
        <f>IF(Project!G6&gt;0,Project!G6,"")</f>
        <v>2.9874999999999998</v>
      </c>
      <c r="H6">
        <f>IF(Project!H6&gt;0,Project!H6,"")</f>
        <v>2.3125</v>
      </c>
      <c r="I6">
        <f>IF(Project!I6&gt;0,Project!I6,"")</f>
        <v>2.2124999999999999</v>
      </c>
      <c r="J6">
        <f>IF(Project!J6&gt;0,Project!J6,"")</f>
        <v>3.1124999999999998</v>
      </c>
      <c r="K6">
        <f>IF(Project!K6&gt;0,Project!K6,"")</f>
        <v>3.1124999999999998</v>
      </c>
      <c r="L6">
        <f>IF(Project!L6&gt;0,Project!L6,"")</f>
        <v>3.1124999999999998</v>
      </c>
      <c r="M6">
        <f>IF(Project!M6&gt;0,Project!M6,"")</f>
        <v>3.1124999999999998</v>
      </c>
      <c r="N6">
        <f>IF(Project!N6&gt;0,Project!N6,"")</f>
        <v>3.05</v>
      </c>
      <c r="O6">
        <f>IF(Project!O6&gt;0,Project!O6,"")</f>
        <v>3.05</v>
      </c>
      <c r="P6">
        <f>IF(Project!P6&gt;0,Project!P6,"")</f>
        <v>3.05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/>
      </c>
      <c r="B7" t="str">
        <f>IF(Project!B7&gt;0,Project!B7,"")</f>
        <v/>
      </c>
      <c r="C7" t="str">
        <f>IF(Project!C7&gt;0,Project!C7,"")</f>
        <v/>
      </c>
      <c r="D7" t="str">
        <f>IF(Project!D7&gt;0,Project!D7,"")</f>
        <v/>
      </c>
      <c r="E7" t="str">
        <f>IF(Project!E7&gt;0,Project!E7,"")</f>
        <v/>
      </c>
      <c r="F7" t="str">
        <f>IF(Project!F7&gt;0,Project!F7,"")</f>
        <v/>
      </c>
      <c r="G7" t="str">
        <f>IF(Project!G7&gt;0,Project!G7,"")</f>
        <v/>
      </c>
      <c r="H7" t="str">
        <f>IF(Project!H7&gt;0,Project!H7,"")</f>
        <v/>
      </c>
      <c r="I7" t="str">
        <f>IF(Project!I7&gt;0,Project!I7,"")</f>
        <v/>
      </c>
      <c r="J7" t="str">
        <f>IF(Project!J7&gt;0,Project!J7,"")</f>
        <v/>
      </c>
      <c r="K7" t="str">
        <f>IF(Project!K7&gt;0,Project!K7,"")</f>
        <v/>
      </c>
      <c r="L7" t="str">
        <f>IF(Project!L7&gt;0,Project!L7,"")</f>
        <v/>
      </c>
      <c r="M7" t="str">
        <f>IF(Project!M7&gt;0,Project!M7,"")</f>
        <v/>
      </c>
      <c r="N7" t="str">
        <f>IF(Project!N7&gt;0,Project!N7,"")</f>
        <v/>
      </c>
      <c r="O7" t="str">
        <f>IF(Project!O7&gt;0,Project!O7,"")</f>
        <v/>
      </c>
      <c r="P7" t="str">
        <f>IF(Project!P7&gt;0,Project!P7,"")</f>
        <v/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3" t="str">
        <f>IF(Project!A22&gt;0,Project!A22,"")</f>
        <v>IT Dist</v>
      </c>
      <c r="C21" s="64" t="str">
        <f>IF(Project!A23&gt;0,Project!A23,"")</f>
        <v>SCGP e-Ordering</v>
      </c>
      <c r="D21" s="65" t="str">
        <f>IF(Project!A24&gt;0,Project!A24,"")</f>
        <v>CAP (Common AI Platform)</v>
      </c>
      <c r="E21" s="67" t="str">
        <f>IF(Project!A25&gt;0,Project!A25,"")</f>
        <v>PromptPlus</v>
      </c>
      <c r="F21" s="66" t="str">
        <f>IF(Project!A26&gt;0,Project!A26,"")</f>
        <v>WeShape platform</v>
      </c>
    </row>
    <row r="22" spans="1:20" x14ac:dyDescent="0.2">
      <c r="A22" s="58" t="str">
        <f>IF(Project!B21&gt;0,Project!B21,"")</f>
        <v>Presale</v>
      </c>
      <c r="B22" s="63">
        <f>IF(Project!B22&gt;0,Project!B22,"")</f>
        <v>36</v>
      </c>
      <c r="C22" s="64">
        <f>IF(Project!B23&gt;0,Project!B23,"")</f>
        <v>2.7</v>
      </c>
      <c r="D22" s="65" t="str">
        <f>IF(Project!B24&gt;0,Project!B24,"")</f>
        <v/>
      </c>
      <c r="E22" s="67" t="str">
        <f>IF(Project!B25&gt;0,Project!B25,"")</f>
        <v/>
      </c>
      <c r="F22" s="66">
        <f>IF(Project!B26&gt;0,Project!B26,"")</f>
        <v>0.8</v>
      </c>
    </row>
    <row r="23" spans="1:20" x14ac:dyDescent="0.2">
      <c r="A23" s="58" t="str">
        <f>IF(Project!C21&gt;0,Project!C21,"")</f>
        <v>Project</v>
      </c>
      <c r="B23" s="63" t="str">
        <f>IF(Project!C22&gt;0,Project!C22,"")</f>
        <v/>
      </c>
      <c r="C23" s="64">
        <f>IF(Project!C23&gt;0,Project!C23,"")</f>
        <v>154.05000000000001</v>
      </c>
      <c r="D23" s="65">
        <f>IF(Project!C24&gt;0,Project!C24,"")</f>
        <v>63.6</v>
      </c>
      <c r="E23" s="67">
        <f>IF(Project!C25&gt;0,Project!C25,"")</f>
        <v>27.375</v>
      </c>
      <c r="F23" s="66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3" t="str">
        <f>IF(Project!D22&gt;0,Project!D22,"")</f>
        <v/>
      </c>
      <c r="C24" s="64">
        <f>IF(Project!D23&gt;0,Project!D23,"")</f>
        <v>5.13</v>
      </c>
      <c r="D24" s="65" t="str">
        <f>IF(Project!D24&gt;0,Project!D24,"")</f>
        <v/>
      </c>
      <c r="E24" s="67" t="str">
        <f>IF(Project!D25&gt;0,Project!D25,"")</f>
        <v/>
      </c>
      <c r="F24" s="66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3" t="str">
        <f>IF(Project!E22&gt;0,Project!E22,"")</f>
        <v/>
      </c>
      <c r="C25" s="64">
        <f>IF(Project!E23&gt;0,Project!E23,"")</f>
        <v>0.9</v>
      </c>
      <c r="D25" s="65" t="str">
        <f>IF(Project!E24&gt;0,Project!E24,"")</f>
        <v/>
      </c>
      <c r="E25" s="67" t="str">
        <f>IF(Project!E25&gt;0,Project!E25,"")</f>
        <v/>
      </c>
      <c r="F25" s="66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3" t="str">
        <f>IF(Project!F22&gt;0,Project!F22,"")</f>
        <v/>
      </c>
      <c r="C26" s="64" t="str">
        <f>IF(Project!F23&gt;0,Project!F23,"")</f>
        <v/>
      </c>
      <c r="D26" s="65" t="str">
        <f>IF(Project!F24&gt;0,Project!F24,"")</f>
        <v/>
      </c>
      <c r="E26" s="67" t="str">
        <f>IF(Project!F25&gt;0,Project!F25,"")</f>
        <v/>
      </c>
      <c r="F26" s="66">
        <f>IF(Project!F26&gt;0,Project!F26,"")</f>
        <v>34.655000000000001</v>
      </c>
    </row>
    <row r="27" spans="1:20" x14ac:dyDescent="0.2">
      <c r="A27" s="58" t="str">
        <f>IF(Project!G21&gt;0,Project!G21,"")</f>
        <v>Warmbody</v>
      </c>
      <c r="B27" s="63">
        <f>IF(Project!G22&gt;0,Project!G22,"")</f>
        <v>180</v>
      </c>
      <c r="C27" s="64" t="str">
        <f>IF(Project!G23&gt;0,Project!G23,"")</f>
        <v/>
      </c>
      <c r="D27" s="65" t="str">
        <f>IF(Project!G24&gt;0,Project!G24,"")</f>
        <v/>
      </c>
      <c r="E27" s="67">
        <f>IF(Project!G25&gt;0,Project!G25,"")</f>
        <v>23.7</v>
      </c>
      <c r="F27" s="66" t="str">
        <f>IF(Project!G26&gt;0,Project!G26,"")</f>
        <v/>
      </c>
    </row>
    <row r="28" spans="1:20" x14ac:dyDescent="0.2">
      <c r="A28" s="58" t="s">
        <v>129</v>
      </c>
      <c r="B28" s="63">
        <f>IF(Project!H22&gt;0,Project!H22,"")</f>
        <v>216</v>
      </c>
      <c r="C28" s="64">
        <f>IF(Project!H23&gt;0,Project!H23,"")</f>
        <v>162.78</v>
      </c>
      <c r="D28" s="65">
        <f>IF(Project!H24&gt;0,Project!H24,"")</f>
        <v>63.6</v>
      </c>
      <c r="E28" s="67">
        <f>IF(Project!H25&gt;0,Project!H25,"")</f>
        <v>51.075000000000003</v>
      </c>
      <c r="F28" s="66">
        <f>IF(Project!H26&gt;0,Project!H26,"")</f>
        <v>35.454999999999998</v>
      </c>
    </row>
    <row r="29" spans="1:20" x14ac:dyDescent="0.2">
      <c r="A29" s="5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2026-05-13T18:58:31Z</dcterms:modified>
</cp:coreProperties>
</file>