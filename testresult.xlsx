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82E0FD1B-81A9-0C45-8714-44E63663B53E}" xr6:coauthVersionLast="47" xr6:coauthVersionMax="47" xr10:uidLastSave="{00000000-0000-0000-0000-000000000000}"/>
  <bookViews>
    <workbookView xWindow="16760" yWindow="3660" windowWidth="28040" windowHeight="17180" activeTab="1" xr2:uid="{9B62DE01-5AE9-7A46-A5D4-95A9ED94E5A6}"/>
  </bookViews>
  <sheets>
    <sheet name="ALL" sheetId="1" r:id="rId1"/>
    <sheet name="GraphAll" sheetId="3" r:id="rId2"/>
    <sheet name="CP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M1" i="3"/>
  <c r="N1" i="3"/>
  <c r="O1" i="3"/>
  <c r="P1" i="3"/>
  <c r="B1" i="3"/>
  <c r="C1" i="3"/>
  <c r="D1" i="3"/>
  <c r="E1" i="3"/>
  <c r="F1" i="3"/>
  <c r="G1" i="3"/>
  <c r="H1" i="3"/>
  <c r="I1" i="3"/>
  <c r="J1" i="3"/>
  <c r="K1" i="3"/>
  <c r="L1" i="3"/>
</calcChain>
</file>

<file path=xl/sharedStrings.xml><?xml version="1.0" encoding="utf-8"?>
<sst xmlns="http://schemas.openxmlformats.org/spreadsheetml/2006/main" count="61" uniqueCount="30">
  <si>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</si>
  <si>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</si>
  <si>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</si>
  <si>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</si>
  <si>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</si>
  <si>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</si>
  <si>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</si>
  <si>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</si>
  <si>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</si>
  <si>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</si>
  <si>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</si>
  <si>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</si>
  <si>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</si>
  <si>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</si>
  <si>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</si>
  <si>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</si>
  <si>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</si>
  <si>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</si>
  <si>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</si>
  <si>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StaffCPS</t>
  </si>
  <si>
    <t>Staff AVGCPS</t>
  </si>
  <si>
    <t>PlanCPS</t>
  </si>
  <si>
    <t>JANTest</t>
  </si>
  <si>
    <t>MAR'27Test</t>
  </si>
  <si>
    <t>PAYROLL</t>
  </si>
  <si>
    <t>CONTRACTOR</t>
  </si>
  <si>
    <t>OUTSOURCE</t>
  </si>
  <si>
    <t>ALL</t>
  </si>
  <si>
    <t>% Plan</t>
  </si>
  <si>
    <t>Available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</si>
</sst>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dimension ref="A1:Q19"/>
  <sheetViews>
    <sheetView workbookViewId="0">
      <selection activeCell="J27" sqref="J2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27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27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27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28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29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24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24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24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25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25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25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26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26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26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dimension ref="A1:P7"/>
  <sheetViews>
    <sheetView tabSelected="1" workbookViewId="0">
      <selection activeCell="B10" sqref="B10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ALL!C1</f>
        <v>JAN</v>
      </c>
      <c r="C1" t="str">
        <f>ALL!D1</f>
        <v>FEB</v>
      </c>
      <c r="D1" t="str">
        <f>ALL!E1</f>
        <v>MAR</v>
      </c>
      <c r="E1" t="str">
        <f>ALL!F1</f>
        <v>APR</v>
      </c>
      <c r="F1" t="str">
        <f>ALL!G1</f>
        <v>MAY</v>
      </c>
      <c r="G1" t="str">
        <f>ALL!H1</f>
        <v>JUN</v>
      </c>
      <c r="H1" t="str">
        <f>ALL!I1</f>
        <v>JUL</v>
      </c>
      <c r="I1" t="str">
        <f>ALL!J1</f>
        <v>AUG</v>
      </c>
      <c r="J1" t="str">
        <f>ALL!K1</f>
        <v>SEP</v>
      </c>
      <c r="K1" t="str">
        <f>ALL!L1</f>
        <v>OCT</v>
      </c>
      <c r="L1" t="str">
        <f>ALL!M1</f>
        <v>NOV</v>
      </c>
      <c r="M1" t="str">
        <f>ALL!N1</f>
        <v>DEC</v>
      </c>
      <c r="N1" t="str">
        <f>ALL!O1</f>
        <v>JAN'27</v>
      </c>
      <c r="O1" t="str">
        <f>ALL!P1</f>
        <v>FEB'27</v>
      </c>
      <c r="P1" t="str">
        <f>ALL!Q1</f>
        <v>MAR'27</v>
      </c>
    </row>
    <row r="2" spans="1:16" x14ac:dyDescent="0.2">
      <c r="A2" t="str">
        <f>ALL!B2</f>
        <v>Staff</v>
      </c>
      <c r="B2">
        <f>ALL!C2</f>
        <v>148</v>
      </c>
      <c r="C2">
        <f>ALL!D2</f>
        <v>149</v>
      </c>
      <c r="D2">
        <f>ALL!E2</f>
        <v>149</v>
      </c>
      <c r="E2">
        <f>ALL!F2</f>
        <v>151</v>
      </c>
      <c r="F2">
        <f>ALL!G2</f>
        <v>150</v>
      </c>
      <c r="G2">
        <f>ALL!H2</f>
        <v>150</v>
      </c>
      <c r="H2">
        <f>ALL!I2</f>
        <v>149</v>
      </c>
      <c r="I2">
        <f>ALL!J2</f>
        <v>149</v>
      </c>
      <c r="J2">
        <f>ALL!K2</f>
        <v>149</v>
      </c>
      <c r="K2">
        <f>ALL!L2</f>
        <v>149</v>
      </c>
      <c r="L2">
        <f>ALL!M2</f>
        <v>149</v>
      </c>
      <c r="M2">
        <f>ALL!N2</f>
        <v>149</v>
      </c>
      <c r="N2">
        <f>ALL!O2</f>
        <v>149</v>
      </c>
      <c r="O2">
        <f>ALL!P2</f>
        <v>149</v>
      </c>
      <c r="P2">
        <f>ALL!Q2</f>
        <v>149</v>
      </c>
    </row>
    <row r="3" spans="1:16" x14ac:dyDescent="0.2">
      <c r="A3" t="str">
        <f>ALL!B3</f>
        <v>Staff AVG</v>
      </c>
      <c r="B3">
        <f>ALL!C3</f>
        <v>149</v>
      </c>
      <c r="C3">
        <f>ALL!D3</f>
        <v>149</v>
      </c>
      <c r="D3">
        <f>ALL!E3</f>
        <v>149</v>
      </c>
      <c r="E3">
        <f>ALL!F3</f>
        <v>149</v>
      </c>
      <c r="F3">
        <f>ALL!G3</f>
        <v>149</v>
      </c>
      <c r="G3">
        <f>ALL!H3</f>
        <v>149</v>
      </c>
      <c r="H3">
        <f>ALL!I3</f>
        <v>149</v>
      </c>
      <c r="I3">
        <f>ALL!J3</f>
        <v>149</v>
      </c>
      <c r="J3">
        <f>ALL!K3</f>
        <v>149</v>
      </c>
      <c r="K3">
        <f>ALL!L3</f>
        <v>149</v>
      </c>
      <c r="L3">
        <f>ALL!M3</f>
        <v>149</v>
      </c>
      <c r="M3">
        <f>ALL!N3</f>
        <v>149</v>
      </c>
      <c r="N3">
        <f>ALL!O3</f>
        <v>149</v>
      </c>
      <c r="O3">
        <f>ALL!P3</f>
        <v>149</v>
      </c>
      <c r="P3">
        <f>ALL!Q3</f>
        <v>149</v>
      </c>
    </row>
    <row r="4" spans="1:16" x14ac:dyDescent="0.2">
      <c r="A4" t="str">
        <f>ALL!B4</f>
        <v>Plan</v>
      </c>
      <c r="B4">
        <f>ALL!C4</f>
        <v>131</v>
      </c>
      <c r="C4">
        <f>ALL!D4</f>
        <v>139</v>
      </c>
      <c r="D4">
        <f>ALL!E4</f>
        <v>142</v>
      </c>
      <c r="E4">
        <f>ALL!F4</f>
        <v>143</v>
      </c>
      <c r="F4">
        <f>ALL!G4</f>
        <v>147</v>
      </c>
      <c r="G4">
        <f>ALL!H4</f>
        <v>144</v>
      </c>
      <c r="H4">
        <f>ALL!I4</f>
        <v>143</v>
      </c>
      <c r="I4">
        <f>ALL!J4</f>
        <v>140</v>
      </c>
      <c r="J4">
        <f>ALL!K4</f>
        <v>139</v>
      </c>
      <c r="K4">
        <f>ALL!L4</f>
        <v>132</v>
      </c>
      <c r="L4">
        <f>ALL!M4</f>
        <v>130</v>
      </c>
      <c r="M4">
        <f>ALL!N4</f>
        <v>130</v>
      </c>
      <c r="N4">
        <f>ALL!O4</f>
        <v>105</v>
      </c>
      <c r="O4">
        <f>ALL!P4</f>
        <v>104</v>
      </c>
      <c r="P4">
        <f>ALL!Q4</f>
        <v>104</v>
      </c>
    </row>
    <row r="5" spans="1:16" x14ac:dyDescent="0.2">
      <c r="A5" t="str">
        <f>ALL!B11</f>
        <v>PAYROLL</v>
      </c>
      <c r="B5">
        <f>ALL!C11</f>
        <v>105</v>
      </c>
      <c r="C5">
        <f>ALL!D11</f>
        <v>111</v>
      </c>
      <c r="D5">
        <f>ALL!E11</f>
        <v>111</v>
      </c>
      <c r="E5">
        <f>ALL!F11</f>
        <v>112</v>
      </c>
      <c r="F5">
        <f>ALL!G11</f>
        <v>113</v>
      </c>
      <c r="G5">
        <f>ALL!H11</f>
        <v>111</v>
      </c>
      <c r="H5">
        <f>ALL!I11</f>
        <v>108</v>
      </c>
      <c r="I5">
        <f>ALL!J11</f>
        <v>105</v>
      </c>
      <c r="J5">
        <f>ALL!K11</f>
        <v>103</v>
      </c>
      <c r="K5">
        <f>ALL!L11</f>
        <v>100</v>
      </c>
      <c r="L5">
        <f>ALL!M11</f>
        <v>99</v>
      </c>
      <c r="M5">
        <f>ALL!N11</f>
        <v>98</v>
      </c>
      <c r="N5">
        <f>ALL!O11</f>
        <v>81</v>
      </c>
      <c r="O5">
        <f>ALL!P11</f>
        <v>81</v>
      </c>
      <c r="P5">
        <f>ALL!Q11</f>
        <v>81</v>
      </c>
    </row>
    <row r="6" spans="1:16" x14ac:dyDescent="0.2">
      <c r="A6" t="str">
        <f>ALL!B15</f>
        <v>CONTRACTOR</v>
      </c>
      <c r="B6">
        <f>ALL!C15</f>
        <v>20</v>
      </c>
      <c r="C6">
        <f>ALL!D15</f>
        <v>20</v>
      </c>
      <c r="D6">
        <f>ALL!E15</f>
        <v>22</v>
      </c>
      <c r="E6">
        <f>ALL!F15</f>
        <v>21</v>
      </c>
      <c r="F6">
        <f>ALL!G15</f>
        <v>21</v>
      </c>
      <c r="G6">
        <f>ALL!H15</f>
        <v>20</v>
      </c>
      <c r="H6">
        <f>ALL!I15</f>
        <v>20</v>
      </c>
      <c r="I6">
        <f>ALL!J15</f>
        <v>20</v>
      </c>
      <c r="J6">
        <f>ALL!K15</f>
        <v>20</v>
      </c>
      <c r="K6">
        <f>ALL!L15</f>
        <v>19</v>
      </c>
      <c r="L6">
        <f>ALL!M15</f>
        <v>19</v>
      </c>
      <c r="M6">
        <f>ALL!N15</f>
        <v>19</v>
      </c>
      <c r="N6">
        <f>ALL!O15</f>
        <v>17</v>
      </c>
      <c r="O6">
        <f>ALL!P15</f>
        <v>17</v>
      </c>
      <c r="P6">
        <f>ALL!Q15</f>
        <v>17</v>
      </c>
    </row>
    <row r="7" spans="1:16" x14ac:dyDescent="0.2">
      <c r="A7" t="str">
        <f>ALL!B19</f>
        <v>OUTSOURCE</v>
      </c>
      <c r="B7">
        <f>ALL!C19</f>
        <v>6</v>
      </c>
      <c r="C7">
        <f>ALL!D19</f>
        <v>8</v>
      </c>
      <c r="D7">
        <f>ALL!E19</f>
        <v>10</v>
      </c>
      <c r="E7">
        <f>ALL!F19</f>
        <v>10</v>
      </c>
      <c r="F7">
        <f>ALL!G19</f>
        <v>12</v>
      </c>
      <c r="G7">
        <f>ALL!H19</f>
        <v>14</v>
      </c>
      <c r="H7">
        <f>ALL!I19</f>
        <v>15</v>
      </c>
      <c r="I7">
        <f>ALL!J19</f>
        <v>15</v>
      </c>
      <c r="J7">
        <f>ALL!K19</f>
        <v>16</v>
      </c>
      <c r="K7">
        <f>ALL!L19</f>
        <v>12</v>
      </c>
      <c r="L7">
        <f>ALL!M19</f>
        <v>12</v>
      </c>
      <c r="M7">
        <f>ALL!N19</f>
        <v>12</v>
      </c>
      <c r="N7">
        <f>ALL!O19</f>
        <v>7</v>
      </c>
      <c r="O7">
        <f>ALL!P19</f>
        <v>7</v>
      </c>
      <c r="P7">
        <f>ALL!Q19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dimension ref="A1:P4"/>
  <sheetViews>
    <sheetView workbookViewId="0">
      <selection activeCell="G22" sqref="G22"/>
    </sheetView>
  </sheetViews>
  <sheetFormatPr baseColWidth="10" defaultRowHeight="16" x14ac:dyDescent="0.2"/>
  <sheetData>
    <row r="1" spans="1:16" x14ac:dyDescent="0.2">
      <c r="A1" s="1" t="s">
        <v>0</v>
      </c>
      <c r="B1" s="2" t="s">
        <v>22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23</v>
      </c>
    </row>
    <row r="2" spans="1:16" x14ac:dyDescent="0.2">
      <c r="A2" s="7" t="s">
        <v>19</v>
      </c>
      <c r="B2" s="8">
        <v>148</v>
      </c>
      <c r="C2" s="8">
        <v>149</v>
      </c>
      <c r="D2" s="8">
        <v>149</v>
      </c>
      <c r="E2" s="8">
        <v>151</v>
      </c>
      <c r="F2" s="8">
        <v>150</v>
      </c>
      <c r="G2" s="8">
        <v>150</v>
      </c>
      <c r="H2" s="8">
        <v>149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150</v>
      </c>
      <c r="O2" s="8">
        <v>160</v>
      </c>
      <c r="P2" s="8">
        <v>170</v>
      </c>
    </row>
    <row r="3" spans="1:16" x14ac:dyDescent="0.2">
      <c r="A3" s="9" t="s">
        <v>20</v>
      </c>
      <c r="B3" s="8">
        <v>149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</row>
    <row r="4" spans="1:16" x14ac:dyDescent="0.2">
      <c r="A4" s="10" t="s">
        <v>21</v>
      </c>
      <c r="B4" s="8">
        <v>1</v>
      </c>
      <c r="C4" s="8">
        <v>2</v>
      </c>
      <c r="D4" s="8">
        <v>3</v>
      </c>
      <c r="E4" s="8">
        <v>143</v>
      </c>
      <c r="F4" s="8">
        <v>147</v>
      </c>
      <c r="G4" s="8">
        <v>144</v>
      </c>
      <c r="H4" s="8">
        <v>143</v>
      </c>
      <c r="I4" s="8">
        <v>140</v>
      </c>
      <c r="J4" s="8">
        <v>139</v>
      </c>
      <c r="K4" s="8">
        <v>132</v>
      </c>
      <c r="L4" s="8">
        <v>130</v>
      </c>
      <c r="M4" s="8">
        <v>130</v>
      </c>
      <c r="N4" s="8">
        <v>105</v>
      </c>
      <c r="O4" s="8">
        <v>104</v>
      </c>
      <c r="P4" s="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GraphAll</vt:lpstr>
      <vt:lpstr>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2026-05-07T19:47:26Z</dcterms:modified>
</cp:coreProperties>
</file>